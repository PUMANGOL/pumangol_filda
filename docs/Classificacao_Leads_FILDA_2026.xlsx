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173B3AAB-9171-4481-8899-5A15BE48D9B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ritérios de Pontuação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6" i="3" l="1"/>
  <c r="D85" i="3"/>
  <c r="C85" i="3"/>
  <c r="D84" i="3"/>
  <c r="C84" i="3"/>
  <c r="D83" i="3"/>
  <c r="C83" i="3"/>
  <c r="D82" i="3"/>
  <c r="C82" i="3"/>
  <c r="D81" i="3"/>
  <c r="C81" i="3"/>
</calcChain>
</file>

<file path=xl/sharedStrings.xml><?xml version="1.0" encoding="utf-8"?>
<sst xmlns="http://schemas.openxmlformats.org/spreadsheetml/2006/main" count="324" uniqueCount="103">
  <si>
    <t>Critério</t>
  </si>
  <si>
    <t>Dimensão</t>
  </si>
  <si>
    <t>Pontuação Máxima</t>
  </si>
  <si>
    <t>Secção do Formulário</t>
  </si>
  <si>
    <t>Opção / Valor</t>
  </si>
  <si>
    <t>Perfil aplicável</t>
  </si>
  <si>
    <t>Peso</t>
  </si>
  <si>
    <t>Perfil</t>
  </si>
  <si>
    <t>Perfil do Visitante</t>
  </si>
  <si>
    <t>Empresa</t>
  </si>
  <si>
    <t>Órgão Público</t>
  </si>
  <si>
    <t>Potencial Parceiro de Negócio</t>
  </si>
  <si>
    <t>Particular</t>
  </si>
  <si>
    <t>Potencial Fornecedor</t>
  </si>
  <si>
    <t>Outro</t>
  </si>
  <si>
    <t>Interesse</t>
  </si>
  <si>
    <t>Soluções de Interesse</t>
  </si>
  <si>
    <t>Combustíveis</t>
  </si>
  <si>
    <t>Lubrificantes</t>
  </si>
  <si>
    <t>VIA</t>
  </si>
  <si>
    <t>Cartão Presente</t>
  </si>
  <si>
    <t>Patrocínios</t>
  </si>
  <si>
    <t>Outros</t>
  </si>
  <si>
    <t>Empresa / Órgão Público</t>
  </si>
  <si>
    <t>Frota+</t>
  </si>
  <si>
    <t>Betumes e Emulções</t>
  </si>
  <si>
    <t>Academia</t>
  </si>
  <si>
    <t>Potencial</t>
  </si>
  <si>
    <t>Combustíveis (condicional)</t>
  </si>
  <si>
    <t>Revenda</t>
  </si>
  <si>
    <t>Até 5.000 litros</t>
  </si>
  <si>
    <t>5.000 – 20.000 litros</t>
  </si>
  <si>
    <t>20.000 – 100.000 litros</t>
  </si>
  <si>
    <t>Superior a 100.000 litros</t>
  </si>
  <si>
    <t>Lubrificantes (condicional)</t>
  </si>
  <si>
    <t>1 – 5</t>
  </si>
  <si>
    <t>6 – 20</t>
  </si>
  <si>
    <t>21 – 50</t>
  </si>
  <si>
    <t>Mais de 50</t>
  </si>
  <si>
    <t>Viatura ligeira</t>
  </si>
  <si>
    <t>Viatura pesada</t>
  </si>
  <si>
    <t>Motociclo</t>
  </si>
  <si>
    <t>Equipamento</t>
  </si>
  <si>
    <t>Frota+ (condicional)</t>
  </si>
  <si>
    <t>1–5</t>
  </si>
  <si>
    <t>6–20</t>
  </si>
  <si>
    <t>21–50</t>
  </si>
  <si>
    <t>Gestão de frota</t>
  </si>
  <si>
    <t>Betumes e Emulções (condicional)</t>
  </si>
  <si>
    <t>Projeto próprio</t>
  </si>
  <si>
    <t>Parceria</t>
  </si>
  <si>
    <t>Construção Civil</t>
  </si>
  <si>
    <t>Obras Públicas</t>
  </si>
  <si>
    <t>Infra-estruturas Rodoviárias</t>
  </si>
  <si>
    <t>Indústria</t>
  </si>
  <si>
    <t>Cartão Presente (condicional)</t>
  </si>
  <si>
    <t>Uso pessoal</t>
  </si>
  <si>
    <t>Oferta</t>
  </si>
  <si>
    <t>Colaboradores</t>
  </si>
  <si>
    <t>Clientes</t>
  </si>
  <si>
    <t>Campanhas promocionais</t>
  </si>
  <si>
    <t>HSSE/Segurança</t>
  </si>
  <si>
    <t>Tecnologia e IA</t>
  </si>
  <si>
    <t>Gestão e Negócios</t>
  </si>
  <si>
    <t>Liderança</t>
  </si>
  <si>
    <t xml:space="preserve">Atendimento ao Cliente </t>
  </si>
  <si>
    <t>Comunicação</t>
  </si>
  <si>
    <t xml:space="preserve">Gestão de Pessoas </t>
  </si>
  <si>
    <t>Estratégia</t>
  </si>
  <si>
    <t>Competências Técnicas</t>
  </si>
  <si>
    <t>VIA (condicional)</t>
  </si>
  <si>
    <t>Sim — já utiliza a App VIA</t>
  </si>
  <si>
    <t>Não — ainda não utiliza</t>
  </si>
  <si>
    <t>Relação comercial existente</t>
  </si>
  <si>
    <t>Sim — já é cliente</t>
  </si>
  <si>
    <t>Particular / Empresa</t>
  </si>
  <si>
    <t>Não — ainda não é cliente</t>
  </si>
  <si>
    <t>Horizonte</t>
  </si>
  <si>
    <t>Qualificação Comercial</t>
  </si>
  <si>
    <t>Imediatamente</t>
  </si>
  <si>
    <t>Todos (excepto Fornecedor)</t>
  </si>
  <si>
    <t>Nos próximos 3 meses</t>
  </si>
  <si>
    <t>Entre 3 e 6 meses</t>
  </si>
  <si>
    <t>Entre 6 e 12 meses</t>
  </si>
  <si>
    <t>Apenas estou a recolher informação</t>
  </si>
  <si>
    <t>Contacto</t>
  </si>
  <si>
    <t>Sim — pretende ser contactado</t>
  </si>
  <si>
    <t>Não — não pretende contacto</t>
  </si>
  <si>
    <t>Telefone</t>
  </si>
  <si>
    <t>wants_contact</t>
  </si>
  <si>
    <t>WhatsApp</t>
  </si>
  <si>
    <t>E-mail</t>
  </si>
  <si>
    <t>Validação dos tetos por dimensão (preencher pesos acima)</t>
  </si>
  <si>
    <t>Máx. permitido</t>
  </si>
  <si>
    <t>Maior peso definido</t>
  </si>
  <si>
    <t>Soma pesos (ref.)</t>
  </si>
  <si>
    <t/>
  </si>
  <si>
    <t>Maior peso = 25</t>
  </si>
  <si>
    <t>Teto acumulativo = 30</t>
  </si>
  <si>
    <t>Maior peso aplicável ≤ 20</t>
  </si>
  <si>
    <t>Maior peso = 30</t>
  </si>
  <si>
    <t>Maior peso = 10</t>
  </si>
  <si>
    <t>TOTAL MÁXIMO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</si>
</sst>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2"/>
      <name val="Calibri"/>
    </font>
    <font>
      <b/>
      <sz val="11"/>
      <color rgb="FFFFFFFF"/>
      <name val="Calibri"/>
    </font>
    <font>
      <b/>
      <sz val="11"/>
      <name val="Calibri"/>
    </font>
    <font>
      <sz val="11"/>
      <color rgb="FF00B050"/>
      <name val="Calibri"/>
      <family val="2"/>
      <scheme val="minor"/>
    </font>
    <font>
      <sz val="11"/>
      <color rgb="FF242424"/>
      <name val="Aptos Narrow"/>
      <charset val="1"/>
    </font>
  </fonts>
  <fills count="6">
    <fill>
      <patternFill patternType="none"/>
    </fill>
    <fill>
      <patternFill patternType="gray125"/>
    </fill>
    <fill>
      <patternFill patternType="solid">
        <fgColor rgb="FF057143"/>
      </patternFill>
    </fill>
    <fill>
      <patternFill patternType="solid">
        <fgColor rgb="FFE8F5E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045A36"/>
      </bottom>
      <diagonal/>
    </border>
    <border>
      <left/>
      <right/>
      <top style="medium">
        <color rgb="FF045A36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center"/>
    </xf>
    <xf numFmtId="0" fontId="0" fillId="0" borderId="2" xfId="0" applyBorder="1" applyAlignment="1">
      <alignment vertical="top" wrapText="1"/>
    </xf>
    <xf numFmtId="0" fontId="0" fillId="3" borderId="2" xfId="0" applyFill="1" applyBorder="1" applyAlignment="1">
      <alignment horizontal="center" vertical="center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4" fillId="3" borderId="0" xfId="0" applyFont="1" applyFill="1" applyAlignment="1">
      <alignment horizontal="center" vertical="center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6"/>
  <sheetViews>
    <sheetView tabSelected="1" workbookViewId="0">
      <pane ySplit="1" topLeftCell="A16" activePane="bottomLeft" state="frozen"/>
      <selection pane="bottomLeft" activeCell="F55" sqref="F55:F63"/>
    </sheetView>
  </sheetViews>
  <sheetFormatPr defaultRowHeight="14.5" x14ac:dyDescent="0.35"/>
  <cols>
    <col min="1" max="1" width="14.54296875" bestFit="1" customWidth="1"/>
    <col min="2" max="2" width="14.1796875" bestFit="1" customWidth="1"/>
    <col min="3" max="3" width="21.81640625" bestFit="1" customWidth="1"/>
    <col min="4" max="4" width="28" customWidth="1"/>
    <col min="5" max="5" width="36" customWidth="1"/>
    <col min="6" max="6" width="24" customWidth="1"/>
    <col min="7" max="7" width="14.81640625" customWidth="1"/>
    <col min="10" max="10" width="13.453125" customWidth="1"/>
    <col min="11" max="11" width="10.7265625" customWidth="1"/>
    <col min="12" max="12" width="10" customWidth="1"/>
    <col min="13" max="13" width="17.453125" customWidth="1"/>
    <col min="14" max="14" width="15.54296875" customWidth="1"/>
    <col min="15" max="15" width="11.7265625" customWidth="1"/>
    <col min="16" max="16" width="12" customWidth="1"/>
  </cols>
  <sheetData>
    <row r="1" spans="1:7" ht="22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7.25" customHeight="1" x14ac:dyDescent="0.35">
      <c r="A2" s="3">
        <v>1</v>
      </c>
      <c r="B2" s="3" t="s">
        <v>7</v>
      </c>
      <c r="C2" s="4">
        <v>25</v>
      </c>
      <c r="D2" s="3" t="s">
        <v>8</v>
      </c>
      <c r="E2" s="3" t="s">
        <v>9</v>
      </c>
      <c r="F2" s="3"/>
      <c r="G2">
        <v>25</v>
      </c>
    </row>
    <row r="3" spans="1:7" x14ac:dyDescent="0.35">
      <c r="A3" s="3">
        <v>1</v>
      </c>
      <c r="B3" s="3" t="s">
        <v>7</v>
      </c>
      <c r="C3" s="4">
        <v>25</v>
      </c>
      <c r="D3" s="3" t="s">
        <v>8</v>
      </c>
      <c r="E3" s="3" t="s">
        <v>10</v>
      </c>
      <c r="F3" s="3"/>
      <c r="G3">
        <v>20</v>
      </c>
    </row>
    <row r="4" spans="1:7" x14ac:dyDescent="0.35">
      <c r="A4" s="3">
        <v>1</v>
      </c>
      <c r="B4" s="3" t="s">
        <v>7</v>
      </c>
      <c r="C4" s="4">
        <v>25</v>
      </c>
      <c r="D4" s="3" t="s">
        <v>8</v>
      </c>
      <c r="E4" s="3" t="s">
        <v>11</v>
      </c>
      <c r="F4" s="3"/>
      <c r="G4">
        <v>20</v>
      </c>
    </row>
    <row r="5" spans="1:7" x14ac:dyDescent="0.35">
      <c r="A5" s="3">
        <v>1</v>
      </c>
      <c r="B5" s="3" t="s">
        <v>7</v>
      </c>
      <c r="C5" s="4">
        <v>25</v>
      </c>
      <c r="D5" s="3" t="s">
        <v>8</v>
      </c>
      <c r="E5" s="3" t="s">
        <v>12</v>
      </c>
      <c r="F5" s="3"/>
      <c r="G5">
        <v>10</v>
      </c>
    </row>
    <row r="6" spans="1:7" x14ac:dyDescent="0.35">
      <c r="A6" s="3">
        <v>1</v>
      </c>
      <c r="B6" s="3" t="s">
        <v>7</v>
      </c>
      <c r="C6" s="4">
        <v>25</v>
      </c>
      <c r="D6" s="3" t="s">
        <v>8</v>
      </c>
      <c r="E6" s="3" t="s">
        <v>13</v>
      </c>
      <c r="F6" s="3"/>
      <c r="G6">
        <v>10</v>
      </c>
    </row>
    <row r="7" spans="1:7" ht="15" thickBot="1" x14ac:dyDescent="0.4">
      <c r="A7" s="3">
        <v>1</v>
      </c>
      <c r="B7" s="3" t="s">
        <v>7</v>
      </c>
      <c r="C7" s="4">
        <v>25</v>
      </c>
      <c r="D7" s="3" t="s">
        <v>8</v>
      </c>
      <c r="E7" s="3" t="s">
        <v>14</v>
      </c>
      <c r="F7" s="3"/>
      <c r="G7">
        <v>5</v>
      </c>
    </row>
    <row r="8" spans="1:7" x14ac:dyDescent="0.35">
      <c r="A8" s="5">
        <v>2</v>
      </c>
      <c r="B8" s="5" t="s">
        <v>15</v>
      </c>
      <c r="C8" s="6">
        <v>30</v>
      </c>
      <c r="D8" s="5" t="s">
        <v>16</v>
      </c>
      <c r="E8" s="5" t="s">
        <v>17</v>
      </c>
      <c r="F8" s="5" t="s">
        <v>12</v>
      </c>
      <c r="G8">
        <v>10</v>
      </c>
    </row>
    <row r="9" spans="1:7" x14ac:dyDescent="0.35">
      <c r="A9" s="3">
        <v>2</v>
      </c>
      <c r="B9" s="3" t="s">
        <v>15</v>
      </c>
      <c r="C9" s="4">
        <v>30</v>
      </c>
      <c r="D9" s="3" t="s">
        <v>16</v>
      </c>
      <c r="E9" s="3" t="s">
        <v>18</v>
      </c>
      <c r="F9" s="3" t="s">
        <v>12</v>
      </c>
      <c r="G9">
        <v>10</v>
      </c>
    </row>
    <row r="10" spans="1:7" x14ac:dyDescent="0.35">
      <c r="A10" s="3">
        <v>2</v>
      </c>
      <c r="B10" s="3" t="s">
        <v>15</v>
      </c>
      <c r="C10" s="4">
        <v>30</v>
      </c>
      <c r="D10" s="3" t="s">
        <v>16</v>
      </c>
      <c r="E10" s="3" t="s">
        <v>19</v>
      </c>
      <c r="F10" s="3" t="s">
        <v>12</v>
      </c>
      <c r="G10">
        <v>10</v>
      </c>
    </row>
    <row r="11" spans="1:7" x14ac:dyDescent="0.35">
      <c r="A11" s="3">
        <v>2</v>
      </c>
      <c r="B11" s="3" t="s">
        <v>15</v>
      </c>
      <c r="C11" s="4">
        <v>30</v>
      </c>
      <c r="D11" s="3" t="s">
        <v>16</v>
      </c>
      <c r="E11" s="3" t="s">
        <v>20</v>
      </c>
      <c r="F11" s="3" t="s">
        <v>12</v>
      </c>
      <c r="G11">
        <v>5</v>
      </c>
    </row>
    <row r="12" spans="1:7" x14ac:dyDescent="0.35">
      <c r="A12" s="3">
        <v>2</v>
      </c>
      <c r="B12" s="3" t="s">
        <v>15</v>
      </c>
      <c r="C12" s="4">
        <v>30</v>
      </c>
      <c r="D12" s="3" t="s">
        <v>16</v>
      </c>
      <c r="E12" s="3" t="s">
        <v>21</v>
      </c>
      <c r="F12" s="3" t="s">
        <v>12</v>
      </c>
      <c r="G12">
        <v>5</v>
      </c>
    </row>
    <row r="13" spans="1:7" x14ac:dyDescent="0.35">
      <c r="A13" s="3">
        <v>2</v>
      </c>
      <c r="B13" s="3" t="s">
        <v>15</v>
      </c>
      <c r="C13" s="4">
        <v>30</v>
      </c>
      <c r="D13" s="3" t="s">
        <v>16</v>
      </c>
      <c r="E13" s="3" t="s">
        <v>22</v>
      </c>
      <c r="F13" s="3" t="s">
        <v>12</v>
      </c>
      <c r="G13">
        <v>5</v>
      </c>
    </row>
    <row r="14" spans="1:7" x14ac:dyDescent="0.35">
      <c r="A14" s="3">
        <v>2</v>
      </c>
      <c r="B14" s="3" t="s">
        <v>15</v>
      </c>
      <c r="C14" s="4">
        <v>30</v>
      </c>
      <c r="D14" s="3" t="s">
        <v>16</v>
      </c>
      <c r="E14" s="3" t="s">
        <v>17</v>
      </c>
      <c r="F14" s="3" t="s">
        <v>23</v>
      </c>
      <c r="G14">
        <v>10</v>
      </c>
    </row>
    <row r="15" spans="1:7" x14ac:dyDescent="0.35">
      <c r="A15" s="3">
        <v>2</v>
      </c>
      <c r="B15" s="3" t="s">
        <v>15</v>
      </c>
      <c r="C15" s="4">
        <v>30</v>
      </c>
      <c r="D15" s="3" t="s">
        <v>16</v>
      </c>
      <c r="E15" s="3" t="s">
        <v>18</v>
      </c>
      <c r="F15" s="3" t="s">
        <v>23</v>
      </c>
      <c r="G15">
        <v>10</v>
      </c>
    </row>
    <row r="16" spans="1:7" x14ac:dyDescent="0.35">
      <c r="A16" s="3">
        <v>2</v>
      </c>
      <c r="B16" s="3" t="s">
        <v>15</v>
      </c>
      <c r="C16" s="4">
        <v>30</v>
      </c>
      <c r="D16" s="3" t="s">
        <v>16</v>
      </c>
      <c r="E16" s="3" t="s">
        <v>24</v>
      </c>
      <c r="F16" s="3" t="s">
        <v>23</v>
      </c>
      <c r="G16">
        <v>10</v>
      </c>
    </row>
    <row r="17" spans="1:7" x14ac:dyDescent="0.35">
      <c r="A17" s="3">
        <v>2</v>
      </c>
      <c r="B17" s="3" t="s">
        <v>15</v>
      </c>
      <c r="C17" s="4">
        <v>30</v>
      </c>
      <c r="D17" s="3" t="s">
        <v>16</v>
      </c>
      <c r="E17" s="3" t="s">
        <v>20</v>
      </c>
      <c r="F17" s="3" t="s">
        <v>23</v>
      </c>
      <c r="G17">
        <v>5</v>
      </c>
    </row>
    <row r="18" spans="1:7" x14ac:dyDescent="0.35">
      <c r="A18" s="3">
        <v>2</v>
      </c>
      <c r="B18" s="3" t="s">
        <v>15</v>
      </c>
      <c r="C18" s="4">
        <v>30</v>
      </c>
      <c r="D18" s="3" t="s">
        <v>16</v>
      </c>
      <c r="E18" s="3" t="s">
        <v>25</v>
      </c>
      <c r="F18" s="3" t="s">
        <v>23</v>
      </c>
      <c r="G18">
        <v>10</v>
      </c>
    </row>
    <row r="19" spans="1:7" x14ac:dyDescent="0.35">
      <c r="A19" s="3">
        <v>2</v>
      </c>
      <c r="B19" s="3" t="s">
        <v>15</v>
      </c>
      <c r="C19" s="4">
        <v>30</v>
      </c>
      <c r="D19" s="3" t="s">
        <v>16</v>
      </c>
      <c r="E19" s="3" t="s">
        <v>21</v>
      </c>
      <c r="F19" s="3" t="s">
        <v>23</v>
      </c>
      <c r="G19">
        <v>5</v>
      </c>
    </row>
    <row r="20" spans="1:7" x14ac:dyDescent="0.35">
      <c r="A20" s="3">
        <v>2</v>
      </c>
      <c r="B20" s="3" t="s">
        <v>15</v>
      </c>
      <c r="C20" s="9">
        <v>30</v>
      </c>
      <c r="D20" s="10" t="s">
        <v>16</v>
      </c>
      <c r="E20" s="10" t="s">
        <v>26</v>
      </c>
      <c r="F20" s="3" t="s">
        <v>23</v>
      </c>
      <c r="G20">
        <v>10</v>
      </c>
    </row>
    <row r="21" spans="1:7" ht="15" thickBot="1" x14ac:dyDescent="0.4">
      <c r="A21" s="3">
        <v>2</v>
      </c>
      <c r="B21" s="3" t="s">
        <v>15</v>
      </c>
      <c r="C21" s="4">
        <v>30</v>
      </c>
      <c r="D21" s="3" t="s">
        <v>16</v>
      </c>
      <c r="E21" s="3" t="s">
        <v>22</v>
      </c>
      <c r="F21" s="3" t="s">
        <v>23</v>
      </c>
      <c r="G21">
        <v>5</v>
      </c>
    </row>
    <row r="22" spans="1:7" x14ac:dyDescent="0.35">
      <c r="A22" s="5">
        <v>3</v>
      </c>
      <c r="B22" s="5" t="s">
        <v>27</v>
      </c>
      <c r="C22" s="6">
        <v>20</v>
      </c>
      <c r="D22" s="5" t="s">
        <v>28</v>
      </c>
      <c r="E22" s="5" t="s">
        <v>9</v>
      </c>
      <c r="F22" s="5" t="s">
        <v>23</v>
      </c>
      <c r="G22">
        <v>20</v>
      </c>
    </row>
    <row r="23" spans="1:7" x14ac:dyDescent="0.35">
      <c r="A23" s="3">
        <v>3</v>
      </c>
      <c r="B23" s="3" t="s">
        <v>27</v>
      </c>
      <c r="C23" s="4">
        <v>20</v>
      </c>
      <c r="D23" s="3" t="s">
        <v>28</v>
      </c>
      <c r="E23" s="3" t="s">
        <v>29</v>
      </c>
      <c r="F23" s="3" t="s">
        <v>23</v>
      </c>
      <c r="G23">
        <v>15</v>
      </c>
    </row>
    <row r="24" spans="1:7" x14ac:dyDescent="0.35">
      <c r="A24" s="3">
        <v>3</v>
      </c>
      <c r="B24" s="3" t="s">
        <v>27</v>
      </c>
      <c r="C24" s="4">
        <v>20</v>
      </c>
      <c r="D24" s="3" t="s">
        <v>28</v>
      </c>
      <c r="E24" s="3" t="s">
        <v>30</v>
      </c>
      <c r="F24" s="3" t="s">
        <v>23</v>
      </c>
      <c r="G24">
        <v>5</v>
      </c>
    </row>
    <row r="25" spans="1:7" x14ac:dyDescent="0.35">
      <c r="A25" s="3">
        <v>3</v>
      </c>
      <c r="B25" s="3" t="s">
        <v>27</v>
      </c>
      <c r="C25" s="4">
        <v>20</v>
      </c>
      <c r="D25" s="3" t="s">
        <v>28</v>
      </c>
      <c r="E25" s="3" t="s">
        <v>31</v>
      </c>
      <c r="F25" s="3" t="s">
        <v>23</v>
      </c>
      <c r="G25">
        <v>10</v>
      </c>
    </row>
    <row r="26" spans="1:7" x14ac:dyDescent="0.35">
      <c r="A26" s="3">
        <v>3</v>
      </c>
      <c r="B26" s="3" t="s">
        <v>27</v>
      </c>
      <c r="C26" s="4">
        <v>20</v>
      </c>
      <c r="D26" s="3" t="s">
        <v>28</v>
      </c>
      <c r="E26" s="3" t="s">
        <v>32</v>
      </c>
      <c r="F26" s="3" t="s">
        <v>23</v>
      </c>
      <c r="G26">
        <v>15</v>
      </c>
    </row>
    <row r="27" spans="1:7" x14ac:dyDescent="0.35">
      <c r="A27" s="3">
        <v>3</v>
      </c>
      <c r="B27" s="3" t="s">
        <v>27</v>
      </c>
      <c r="C27" s="4">
        <v>20</v>
      </c>
      <c r="D27" s="3" t="s">
        <v>28</v>
      </c>
      <c r="E27" s="3" t="s">
        <v>33</v>
      </c>
      <c r="F27" s="3" t="s">
        <v>23</v>
      </c>
      <c r="G27">
        <v>20</v>
      </c>
    </row>
    <row r="28" spans="1:7" x14ac:dyDescent="0.35">
      <c r="A28" s="3">
        <v>3</v>
      </c>
      <c r="B28" s="3" t="s">
        <v>27</v>
      </c>
      <c r="C28" s="4">
        <v>20</v>
      </c>
      <c r="D28" s="3" t="s">
        <v>34</v>
      </c>
      <c r="E28" s="3" t="s">
        <v>35</v>
      </c>
      <c r="F28" s="3" t="s">
        <v>23</v>
      </c>
      <c r="G28">
        <v>5</v>
      </c>
    </row>
    <row r="29" spans="1:7" x14ac:dyDescent="0.35">
      <c r="A29" s="3">
        <v>3</v>
      </c>
      <c r="B29" s="3" t="s">
        <v>27</v>
      </c>
      <c r="C29" s="4">
        <v>20</v>
      </c>
      <c r="D29" s="3" t="s">
        <v>34</v>
      </c>
      <c r="E29" s="3" t="s">
        <v>36</v>
      </c>
      <c r="F29" s="3" t="s">
        <v>23</v>
      </c>
      <c r="G29">
        <v>10</v>
      </c>
    </row>
    <row r="30" spans="1:7" x14ac:dyDescent="0.35">
      <c r="A30" s="3">
        <v>3</v>
      </c>
      <c r="B30" s="3" t="s">
        <v>27</v>
      </c>
      <c r="C30" s="4">
        <v>20</v>
      </c>
      <c r="D30" s="3" t="s">
        <v>34</v>
      </c>
      <c r="E30" s="3" t="s">
        <v>37</v>
      </c>
      <c r="F30" s="3" t="s">
        <v>23</v>
      </c>
      <c r="G30">
        <v>15</v>
      </c>
    </row>
    <row r="31" spans="1:7" x14ac:dyDescent="0.35">
      <c r="A31" s="3">
        <v>3</v>
      </c>
      <c r="B31" s="3" t="s">
        <v>27</v>
      </c>
      <c r="C31" s="4">
        <v>20</v>
      </c>
      <c r="D31" s="3" t="s">
        <v>34</v>
      </c>
      <c r="E31" s="3" t="s">
        <v>38</v>
      </c>
      <c r="F31" s="3" t="s">
        <v>23</v>
      </c>
      <c r="G31">
        <v>20</v>
      </c>
    </row>
    <row r="32" spans="1:7" x14ac:dyDescent="0.35">
      <c r="A32" s="3">
        <v>3</v>
      </c>
      <c r="B32" s="3" t="s">
        <v>27</v>
      </c>
      <c r="C32" s="4">
        <v>20</v>
      </c>
      <c r="D32" s="3" t="s">
        <v>34</v>
      </c>
      <c r="E32" s="3" t="s">
        <v>39</v>
      </c>
      <c r="F32" s="3" t="s">
        <v>12</v>
      </c>
      <c r="G32">
        <v>10</v>
      </c>
    </row>
    <row r="33" spans="1:7" x14ac:dyDescent="0.35">
      <c r="A33" s="3">
        <v>3</v>
      </c>
      <c r="B33" s="3" t="s">
        <v>27</v>
      </c>
      <c r="C33" s="4">
        <v>20</v>
      </c>
      <c r="D33" s="3" t="s">
        <v>34</v>
      </c>
      <c r="E33" s="3" t="s">
        <v>40</v>
      </c>
      <c r="F33" s="3" t="s">
        <v>12</v>
      </c>
      <c r="G33">
        <v>15</v>
      </c>
    </row>
    <row r="34" spans="1:7" x14ac:dyDescent="0.35">
      <c r="A34" s="3">
        <v>3</v>
      </c>
      <c r="B34" s="3" t="s">
        <v>27</v>
      </c>
      <c r="C34" s="4">
        <v>20</v>
      </c>
      <c r="D34" s="3" t="s">
        <v>34</v>
      </c>
      <c r="E34" s="3" t="s">
        <v>41</v>
      </c>
      <c r="F34" s="3" t="s">
        <v>12</v>
      </c>
      <c r="G34">
        <v>5</v>
      </c>
    </row>
    <row r="35" spans="1:7" x14ac:dyDescent="0.35">
      <c r="A35" s="3">
        <v>3</v>
      </c>
      <c r="B35" s="3" t="s">
        <v>27</v>
      </c>
      <c r="C35" s="4">
        <v>20</v>
      </c>
      <c r="D35" s="3" t="s">
        <v>34</v>
      </c>
      <c r="E35" s="3" t="s">
        <v>42</v>
      </c>
      <c r="F35" s="3" t="s">
        <v>12</v>
      </c>
      <c r="G35">
        <v>20</v>
      </c>
    </row>
    <row r="36" spans="1:7" x14ac:dyDescent="0.35">
      <c r="A36" s="3">
        <v>3</v>
      </c>
      <c r="B36" s="3" t="s">
        <v>27</v>
      </c>
      <c r="C36" s="4">
        <v>20</v>
      </c>
      <c r="D36" s="3" t="s">
        <v>34</v>
      </c>
      <c r="E36" s="3" t="s">
        <v>14</v>
      </c>
      <c r="F36" s="3" t="s">
        <v>12</v>
      </c>
      <c r="G36">
        <v>5</v>
      </c>
    </row>
    <row r="37" spans="1:7" x14ac:dyDescent="0.35">
      <c r="A37" s="3">
        <v>3</v>
      </c>
      <c r="B37" s="3" t="s">
        <v>27</v>
      </c>
      <c r="C37" s="4">
        <v>20</v>
      </c>
      <c r="D37" s="3" t="s">
        <v>43</v>
      </c>
      <c r="E37" s="3" t="s">
        <v>44</v>
      </c>
      <c r="F37" s="3" t="s">
        <v>23</v>
      </c>
      <c r="G37">
        <v>5</v>
      </c>
    </row>
    <row r="38" spans="1:7" x14ac:dyDescent="0.35">
      <c r="A38" s="3">
        <v>3</v>
      </c>
      <c r="B38" s="3" t="s">
        <v>27</v>
      </c>
      <c r="C38" s="4">
        <v>20</v>
      </c>
      <c r="D38" s="3" t="s">
        <v>43</v>
      </c>
      <c r="E38" s="3" t="s">
        <v>45</v>
      </c>
      <c r="F38" s="3" t="s">
        <v>23</v>
      </c>
      <c r="G38">
        <v>10</v>
      </c>
    </row>
    <row r="39" spans="1:7" x14ac:dyDescent="0.35">
      <c r="A39" s="3">
        <v>3</v>
      </c>
      <c r="B39" s="3" t="s">
        <v>27</v>
      </c>
      <c r="C39" s="4">
        <v>20</v>
      </c>
      <c r="D39" s="3" t="s">
        <v>43</v>
      </c>
      <c r="E39" s="3" t="s">
        <v>46</v>
      </c>
      <c r="F39" s="3" t="s">
        <v>23</v>
      </c>
      <c r="G39">
        <v>15</v>
      </c>
    </row>
    <row r="40" spans="1:7" x14ac:dyDescent="0.35">
      <c r="A40" s="3">
        <v>3</v>
      </c>
      <c r="B40" s="3" t="s">
        <v>27</v>
      </c>
      <c r="C40" s="4">
        <v>20</v>
      </c>
      <c r="D40" s="3" t="s">
        <v>43</v>
      </c>
      <c r="E40" s="3" t="s">
        <v>38</v>
      </c>
      <c r="F40" s="3" t="s">
        <v>23</v>
      </c>
      <c r="G40">
        <v>20</v>
      </c>
    </row>
    <row r="41" spans="1:7" x14ac:dyDescent="0.35">
      <c r="A41" s="3">
        <v>3</v>
      </c>
      <c r="B41" s="3" t="s">
        <v>27</v>
      </c>
      <c r="C41" s="4">
        <v>20</v>
      </c>
      <c r="D41" s="3" t="s">
        <v>43</v>
      </c>
      <c r="E41" s="3" t="s">
        <v>47</v>
      </c>
      <c r="F41" s="3" t="s">
        <v>23</v>
      </c>
      <c r="G41">
        <v>20</v>
      </c>
    </row>
    <row r="42" spans="1:7" ht="29" x14ac:dyDescent="0.35">
      <c r="A42" s="3">
        <v>3</v>
      </c>
      <c r="B42" s="3" t="s">
        <v>27</v>
      </c>
      <c r="C42" s="4">
        <v>20</v>
      </c>
      <c r="D42" s="7" t="s">
        <v>48</v>
      </c>
      <c r="E42" s="3" t="s">
        <v>49</v>
      </c>
      <c r="F42" s="3" t="s">
        <v>23</v>
      </c>
      <c r="G42">
        <v>10</v>
      </c>
    </row>
    <row r="43" spans="1:7" ht="29" x14ac:dyDescent="0.35">
      <c r="A43" s="3">
        <v>3</v>
      </c>
      <c r="B43" s="3" t="s">
        <v>27</v>
      </c>
      <c r="C43" s="4">
        <v>20</v>
      </c>
      <c r="D43" s="7" t="s">
        <v>48</v>
      </c>
      <c r="E43" s="3" t="s">
        <v>50</v>
      </c>
      <c r="F43" s="3" t="s">
        <v>23</v>
      </c>
      <c r="G43">
        <v>10</v>
      </c>
    </row>
    <row r="44" spans="1:7" ht="29" x14ac:dyDescent="0.35">
      <c r="A44" s="3">
        <v>3</v>
      </c>
      <c r="B44" s="3" t="s">
        <v>27</v>
      </c>
      <c r="C44" s="4">
        <v>20</v>
      </c>
      <c r="D44" s="7" t="s">
        <v>48</v>
      </c>
      <c r="E44" s="3" t="s">
        <v>51</v>
      </c>
      <c r="F44" s="3" t="s">
        <v>23</v>
      </c>
      <c r="G44">
        <v>10</v>
      </c>
    </row>
    <row r="45" spans="1:7" ht="29" x14ac:dyDescent="0.35">
      <c r="A45" s="3">
        <v>3</v>
      </c>
      <c r="B45" s="3" t="s">
        <v>27</v>
      </c>
      <c r="C45" s="4">
        <v>20</v>
      </c>
      <c r="D45" s="7" t="s">
        <v>48</v>
      </c>
      <c r="E45" s="8" t="s">
        <v>52</v>
      </c>
      <c r="F45" s="3" t="s">
        <v>23</v>
      </c>
      <c r="G45">
        <v>20</v>
      </c>
    </row>
    <row r="46" spans="1:7" ht="29" x14ac:dyDescent="0.35">
      <c r="A46" s="3">
        <v>3</v>
      </c>
      <c r="B46" s="3" t="s">
        <v>27</v>
      </c>
      <c r="C46" s="4">
        <v>20</v>
      </c>
      <c r="D46" s="7" t="s">
        <v>48</v>
      </c>
      <c r="E46" s="8" t="s">
        <v>53</v>
      </c>
      <c r="F46" s="3" t="s">
        <v>23</v>
      </c>
      <c r="G46">
        <v>20</v>
      </c>
    </row>
    <row r="47" spans="1:7" ht="29" x14ac:dyDescent="0.35">
      <c r="A47" s="3">
        <v>3</v>
      </c>
      <c r="B47" s="3" t="s">
        <v>27</v>
      </c>
      <c r="C47" s="4">
        <v>20</v>
      </c>
      <c r="D47" s="7" t="s">
        <v>48</v>
      </c>
      <c r="E47" s="8" t="s">
        <v>54</v>
      </c>
      <c r="F47" s="3" t="s">
        <v>23</v>
      </c>
      <c r="G47">
        <v>10</v>
      </c>
    </row>
    <row r="48" spans="1:7" ht="29" x14ac:dyDescent="0.35">
      <c r="A48" s="3">
        <v>3</v>
      </c>
      <c r="B48" s="3" t="s">
        <v>27</v>
      </c>
      <c r="C48" s="4">
        <v>20</v>
      </c>
      <c r="D48" s="7" t="s">
        <v>48</v>
      </c>
      <c r="E48" s="8" t="s">
        <v>14</v>
      </c>
      <c r="F48" s="3" t="s">
        <v>23</v>
      </c>
      <c r="G48">
        <v>5</v>
      </c>
    </row>
    <row r="49" spans="1:7" x14ac:dyDescent="0.35">
      <c r="A49" s="3">
        <v>3</v>
      </c>
      <c r="B49" s="3" t="s">
        <v>27</v>
      </c>
      <c r="C49" s="4">
        <v>20</v>
      </c>
      <c r="D49" s="3" t="s">
        <v>55</v>
      </c>
      <c r="E49" s="3" t="s">
        <v>56</v>
      </c>
      <c r="F49" s="3" t="s">
        <v>12</v>
      </c>
      <c r="G49">
        <v>5</v>
      </c>
    </row>
    <row r="50" spans="1:7" x14ac:dyDescent="0.35">
      <c r="A50" s="3">
        <v>3</v>
      </c>
      <c r="B50" s="3" t="s">
        <v>27</v>
      </c>
      <c r="C50" s="4">
        <v>20</v>
      </c>
      <c r="D50" s="3" t="s">
        <v>55</v>
      </c>
      <c r="E50" s="3" t="s">
        <v>57</v>
      </c>
      <c r="F50" s="3" t="s">
        <v>12</v>
      </c>
      <c r="G50">
        <v>10</v>
      </c>
    </row>
    <row r="51" spans="1:7" x14ac:dyDescent="0.35">
      <c r="A51" s="3">
        <v>3</v>
      </c>
      <c r="B51" s="3" t="s">
        <v>27</v>
      </c>
      <c r="C51" s="4">
        <v>20</v>
      </c>
      <c r="D51" s="3" t="s">
        <v>55</v>
      </c>
      <c r="E51" s="3" t="s">
        <v>58</v>
      </c>
      <c r="F51" s="3" t="s">
        <v>23</v>
      </c>
      <c r="G51">
        <v>15</v>
      </c>
    </row>
    <row r="52" spans="1:7" x14ac:dyDescent="0.35">
      <c r="A52" s="3">
        <v>3</v>
      </c>
      <c r="B52" s="3" t="s">
        <v>27</v>
      </c>
      <c r="C52" s="4">
        <v>20</v>
      </c>
      <c r="D52" s="3" t="s">
        <v>55</v>
      </c>
      <c r="E52" s="3" t="s">
        <v>59</v>
      </c>
      <c r="F52" s="3" t="s">
        <v>23</v>
      </c>
      <c r="G52">
        <v>15</v>
      </c>
    </row>
    <row r="53" spans="1:7" x14ac:dyDescent="0.35">
      <c r="A53" s="3">
        <v>3</v>
      </c>
      <c r="B53" s="3" t="s">
        <v>27</v>
      </c>
      <c r="C53" s="4">
        <v>20</v>
      </c>
      <c r="D53" s="3" t="s">
        <v>55</v>
      </c>
      <c r="E53" s="3" t="s">
        <v>60</v>
      </c>
      <c r="F53" s="3" t="s">
        <v>23</v>
      </c>
      <c r="G53">
        <v>20</v>
      </c>
    </row>
    <row r="54" spans="1:7" x14ac:dyDescent="0.35">
      <c r="A54" s="3">
        <v>3</v>
      </c>
      <c r="B54" s="3" t="s">
        <v>27</v>
      </c>
      <c r="C54" s="4">
        <v>20</v>
      </c>
      <c r="D54" s="3" t="s">
        <v>55</v>
      </c>
      <c r="E54" s="3" t="s">
        <v>14</v>
      </c>
      <c r="F54" s="3" t="s">
        <v>23</v>
      </c>
      <c r="G54">
        <v>5</v>
      </c>
    </row>
    <row r="55" spans="1:7" x14ac:dyDescent="0.35">
      <c r="A55" s="3">
        <v>3</v>
      </c>
      <c r="B55" s="3" t="s">
        <v>27</v>
      </c>
      <c r="C55" s="4">
        <v>20</v>
      </c>
      <c r="D55" s="3" t="s">
        <v>26</v>
      </c>
      <c r="E55" s="11" t="s">
        <v>61</v>
      </c>
      <c r="F55" s="3" t="s">
        <v>12</v>
      </c>
      <c r="G55">
        <v>20</v>
      </c>
    </row>
    <row r="56" spans="1:7" x14ac:dyDescent="0.35">
      <c r="A56" s="3">
        <v>3</v>
      </c>
      <c r="B56" s="3" t="s">
        <v>27</v>
      </c>
      <c r="C56" s="4">
        <v>20</v>
      </c>
      <c r="D56" s="3" t="s">
        <v>26</v>
      </c>
      <c r="E56" t="s">
        <v>62</v>
      </c>
      <c r="F56" s="3" t="s">
        <v>12</v>
      </c>
      <c r="G56">
        <v>20</v>
      </c>
    </row>
    <row r="57" spans="1:7" x14ac:dyDescent="0.35">
      <c r="A57" s="3">
        <v>3</v>
      </c>
      <c r="B57" s="3" t="s">
        <v>27</v>
      </c>
      <c r="C57" s="4">
        <v>20</v>
      </c>
      <c r="D57" s="3" t="s">
        <v>26</v>
      </c>
      <c r="E57" t="s">
        <v>63</v>
      </c>
      <c r="F57" s="3" t="s">
        <v>12</v>
      </c>
      <c r="G57">
        <v>15</v>
      </c>
    </row>
    <row r="58" spans="1:7" x14ac:dyDescent="0.35">
      <c r="A58" s="3">
        <v>3</v>
      </c>
      <c r="B58" s="3" t="s">
        <v>27</v>
      </c>
      <c r="C58" s="4">
        <v>20</v>
      </c>
      <c r="D58" s="3" t="s">
        <v>26</v>
      </c>
      <c r="E58" t="s">
        <v>64</v>
      </c>
      <c r="F58" s="3" t="s">
        <v>12</v>
      </c>
      <c r="G58">
        <v>15</v>
      </c>
    </row>
    <row r="59" spans="1:7" x14ac:dyDescent="0.35">
      <c r="A59" s="3">
        <v>3</v>
      </c>
      <c r="B59" s="3" t="s">
        <v>27</v>
      </c>
      <c r="C59" s="4">
        <v>20</v>
      </c>
      <c r="D59" s="3" t="s">
        <v>26</v>
      </c>
      <c r="E59" t="s">
        <v>65</v>
      </c>
      <c r="F59" s="3" t="s">
        <v>12</v>
      </c>
      <c r="G59">
        <v>10</v>
      </c>
    </row>
    <row r="60" spans="1:7" x14ac:dyDescent="0.35">
      <c r="A60" s="3">
        <v>3</v>
      </c>
      <c r="B60" s="3" t="s">
        <v>27</v>
      </c>
      <c r="C60" s="4">
        <v>20</v>
      </c>
      <c r="D60" s="3" t="s">
        <v>26</v>
      </c>
      <c r="E60" t="s">
        <v>66</v>
      </c>
      <c r="F60" s="3" t="s">
        <v>12</v>
      </c>
      <c r="G60">
        <v>10</v>
      </c>
    </row>
    <row r="61" spans="1:7" x14ac:dyDescent="0.35">
      <c r="A61" s="3">
        <v>3</v>
      </c>
      <c r="B61" s="3" t="s">
        <v>27</v>
      </c>
      <c r="C61" s="4">
        <v>20</v>
      </c>
      <c r="D61" s="3" t="s">
        <v>26</v>
      </c>
      <c r="E61" t="s">
        <v>67</v>
      </c>
      <c r="F61" s="3" t="s">
        <v>12</v>
      </c>
      <c r="G61">
        <v>10</v>
      </c>
    </row>
    <row r="62" spans="1:7" x14ac:dyDescent="0.35">
      <c r="A62" s="3">
        <v>3</v>
      </c>
      <c r="B62" s="3" t="s">
        <v>27</v>
      </c>
      <c r="C62" s="4">
        <v>20</v>
      </c>
      <c r="D62" s="3" t="s">
        <v>26</v>
      </c>
      <c r="E62" t="s">
        <v>68</v>
      </c>
      <c r="F62" s="3" t="s">
        <v>12</v>
      </c>
      <c r="G62">
        <v>10</v>
      </c>
    </row>
    <row r="63" spans="1:7" x14ac:dyDescent="0.35">
      <c r="A63" s="3">
        <v>3</v>
      </c>
      <c r="B63" s="3" t="s">
        <v>27</v>
      </c>
      <c r="C63" s="4">
        <v>20</v>
      </c>
      <c r="D63" s="3" t="s">
        <v>26</v>
      </c>
      <c r="E63" t="s">
        <v>69</v>
      </c>
      <c r="F63" s="3" t="s">
        <v>12</v>
      </c>
      <c r="G63">
        <v>10</v>
      </c>
    </row>
    <row r="64" spans="1:7" x14ac:dyDescent="0.35">
      <c r="A64" s="3">
        <v>3</v>
      </c>
      <c r="B64" s="3" t="s">
        <v>27</v>
      </c>
      <c r="C64" s="4">
        <v>20</v>
      </c>
      <c r="D64" s="3" t="s">
        <v>70</v>
      </c>
      <c r="E64" s="3" t="s">
        <v>71</v>
      </c>
      <c r="F64" s="3" t="s">
        <v>12</v>
      </c>
      <c r="G64">
        <v>10</v>
      </c>
    </row>
    <row r="65" spans="1:7" x14ac:dyDescent="0.35">
      <c r="A65" s="3">
        <v>3</v>
      </c>
      <c r="B65" s="3" t="s">
        <v>27</v>
      </c>
      <c r="C65" s="4">
        <v>20</v>
      </c>
      <c r="D65" s="3" t="s">
        <v>70</v>
      </c>
      <c r="E65" s="3" t="s">
        <v>72</v>
      </c>
      <c r="F65" s="3" t="s">
        <v>12</v>
      </c>
      <c r="G65">
        <v>20</v>
      </c>
    </row>
    <row r="66" spans="1:7" x14ac:dyDescent="0.35">
      <c r="A66" s="3">
        <v>3</v>
      </c>
      <c r="B66" s="3" t="s">
        <v>27</v>
      </c>
      <c r="C66" s="4">
        <v>20</v>
      </c>
      <c r="D66" s="3" t="s">
        <v>73</v>
      </c>
      <c r="E66" s="3" t="s">
        <v>74</v>
      </c>
      <c r="F66" s="3" t="s">
        <v>75</v>
      </c>
      <c r="G66">
        <v>10</v>
      </c>
    </row>
    <row r="67" spans="1:7" ht="15" thickBot="1" x14ac:dyDescent="0.4">
      <c r="A67" s="3">
        <v>3</v>
      </c>
      <c r="B67" s="3" t="s">
        <v>27</v>
      </c>
      <c r="C67" s="4">
        <v>20</v>
      </c>
      <c r="D67" s="3" t="s">
        <v>73</v>
      </c>
      <c r="E67" s="3" t="s">
        <v>76</v>
      </c>
      <c r="F67" s="3" t="s">
        <v>75</v>
      </c>
      <c r="G67">
        <v>20</v>
      </c>
    </row>
    <row r="68" spans="1:7" ht="29" x14ac:dyDescent="0.35">
      <c r="A68" s="5">
        <v>4</v>
      </c>
      <c r="B68" s="5" t="s">
        <v>77</v>
      </c>
      <c r="C68" s="6">
        <v>30</v>
      </c>
      <c r="D68" s="5" t="s">
        <v>78</v>
      </c>
      <c r="E68" s="5" t="s">
        <v>79</v>
      </c>
      <c r="F68" s="5" t="s">
        <v>80</v>
      </c>
      <c r="G68">
        <v>30</v>
      </c>
    </row>
    <row r="69" spans="1:7" ht="29" x14ac:dyDescent="0.35">
      <c r="A69" s="3">
        <v>4</v>
      </c>
      <c r="B69" s="3" t="s">
        <v>77</v>
      </c>
      <c r="C69" s="4">
        <v>30</v>
      </c>
      <c r="D69" s="3" t="s">
        <v>78</v>
      </c>
      <c r="E69" s="3" t="s">
        <v>81</v>
      </c>
      <c r="F69" s="3" t="s">
        <v>80</v>
      </c>
      <c r="G69">
        <v>20</v>
      </c>
    </row>
    <row r="70" spans="1:7" ht="29" x14ac:dyDescent="0.35">
      <c r="A70" s="3">
        <v>4</v>
      </c>
      <c r="B70" s="3" t="s">
        <v>77</v>
      </c>
      <c r="C70" s="4">
        <v>30</v>
      </c>
      <c r="D70" s="3" t="s">
        <v>78</v>
      </c>
      <c r="E70" s="3" t="s">
        <v>82</v>
      </c>
      <c r="F70" s="3" t="s">
        <v>80</v>
      </c>
      <c r="G70">
        <v>10</v>
      </c>
    </row>
    <row r="71" spans="1:7" ht="29" x14ac:dyDescent="0.35">
      <c r="A71" s="3">
        <v>4</v>
      </c>
      <c r="B71" s="3" t="s">
        <v>77</v>
      </c>
      <c r="C71" s="4">
        <v>30</v>
      </c>
      <c r="D71" s="3" t="s">
        <v>78</v>
      </c>
      <c r="E71" s="3" t="s">
        <v>83</v>
      </c>
      <c r="F71" s="3" t="s">
        <v>80</v>
      </c>
      <c r="G71">
        <v>5</v>
      </c>
    </row>
    <row r="72" spans="1:7" ht="29.5" thickBot="1" x14ac:dyDescent="0.4">
      <c r="A72" s="3">
        <v>4</v>
      </c>
      <c r="B72" s="3" t="s">
        <v>77</v>
      </c>
      <c r="C72" s="4">
        <v>30</v>
      </c>
      <c r="D72" s="3" t="s">
        <v>78</v>
      </c>
      <c r="E72" s="3" t="s">
        <v>84</v>
      </c>
      <c r="F72" s="3" t="s">
        <v>80</v>
      </c>
      <c r="G72">
        <v>0</v>
      </c>
    </row>
    <row r="73" spans="1:7" ht="29" x14ac:dyDescent="0.35">
      <c r="A73" s="5">
        <v>5</v>
      </c>
      <c r="B73" s="5" t="s">
        <v>85</v>
      </c>
      <c r="C73" s="6">
        <v>10</v>
      </c>
      <c r="D73" s="5" t="s">
        <v>78</v>
      </c>
      <c r="E73" s="5" t="s">
        <v>86</v>
      </c>
      <c r="F73" s="5" t="s">
        <v>80</v>
      </c>
      <c r="G73">
        <v>10</v>
      </c>
    </row>
    <row r="74" spans="1:7" ht="29" x14ac:dyDescent="0.35">
      <c r="A74" s="3">
        <v>5</v>
      </c>
      <c r="B74" s="3" t="s">
        <v>85</v>
      </c>
      <c r="C74" s="4">
        <v>10</v>
      </c>
      <c r="D74" s="3" t="s">
        <v>78</v>
      </c>
      <c r="E74" s="3" t="s">
        <v>87</v>
      </c>
      <c r="F74" s="3" t="s">
        <v>80</v>
      </c>
      <c r="G74">
        <v>0</v>
      </c>
    </row>
    <row r="75" spans="1:7" x14ac:dyDescent="0.35">
      <c r="A75" s="3">
        <v>5</v>
      </c>
      <c r="B75" s="3" t="s">
        <v>85</v>
      </c>
      <c r="C75" s="4">
        <v>10</v>
      </c>
      <c r="D75" s="3" t="s">
        <v>78</v>
      </c>
      <c r="E75" s="3" t="s">
        <v>88</v>
      </c>
      <c r="F75" s="3" t="s">
        <v>89</v>
      </c>
      <c r="G75">
        <v>10</v>
      </c>
    </row>
    <row r="76" spans="1:7" x14ac:dyDescent="0.35">
      <c r="A76" s="3">
        <v>5</v>
      </c>
      <c r="B76" s="3" t="s">
        <v>85</v>
      </c>
      <c r="C76" s="4">
        <v>10</v>
      </c>
      <c r="D76" s="3" t="s">
        <v>78</v>
      </c>
      <c r="E76" s="3" t="s">
        <v>90</v>
      </c>
      <c r="F76" s="3" t="s">
        <v>89</v>
      </c>
      <c r="G76">
        <v>5</v>
      </c>
    </row>
    <row r="77" spans="1:7" x14ac:dyDescent="0.35">
      <c r="A77" s="3">
        <v>5</v>
      </c>
      <c r="B77" s="3" t="s">
        <v>85</v>
      </c>
      <c r="C77" s="4">
        <v>10</v>
      </c>
      <c r="D77" s="3" t="s">
        <v>78</v>
      </c>
      <c r="E77" s="3" t="s">
        <v>91</v>
      </c>
      <c r="F77" s="3" t="s">
        <v>89</v>
      </c>
      <c r="G77">
        <v>5</v>
      </c>
    </row>
    <row r="79" spans="1:7" ht="15.5" x14ac:dyDescent="0.35">
      <c r="A79" s="12" t="s">
        <v>92</v>
      </c>
      <c r="B79" s="12"/>
      <c r="C79" s="12"/>
      <c r="D79" s="12"/>
      <c r="E79" s="12"/>
      <c r="F79" s="12"/>
      <c r="G79" s="12"/>
    </row>
    <row r="80" spans="1:7" ht="22" customHeight="1" x14ac:dyDescent="0.35">
      <c r="A80" s="1" t="s">
        <v>1</v>
      </c>
      <c r="B80" s="1" t="s">
        <v>93</v>
      </c>
      <c r="C80" s="1" t="s">
        <v>94</v>
      </c>
      <c r="D80" s="1" t="s">
        <v>95</v>
      </c>
      <c r="E80" s="1" t="s">
        <v>96</v>
      </c>
      <c r="F80" s="1" t="s">
        <v>96</v>
      </c>
      <c r="G80" s="1" t="s">
        <v>96</v>
      </c>
    </row>
    <row r="81" spans="1:5" x14ac:dyDescent="0.35">
      <c r="A81" t="s">
        <v>7</v>
      </c>
      <c r="B81">
        <v>25</v>
      </c>
      <c r="C81" t="e">
        <f ca="1">_xludf.MAXIFS(G$2:G$77,A$2:A$77,1)</f>
        <v>#NAME?</v>
      </c>
      <c r="D81">
        <f>SUMIF(A$2:A$77,1,G$2:G$77)</f>
        <v>90</v>
      </c>
      <c r="E81" t="s">
        <v>97</v>
      </c>
    </row>
    <row r="82" spans="1:5" x14ac:dyDescent="0.35">
      <c r="A82" t="s">
        <v>15</v>
      </c>
      <c r="B82">
        <v>30</v>
      </c>
      <c r="C82" t="e">
        <f ca="1">_xludf.MAXIFS(G$2:G$77,A$2:A$77,2)</f>
        <v>#NAME?</v>
      </c>
      <c r="D82">
        <f>SUMIF(A$2:A$77,2,G$2:G$77)</f>
        <v>110</v>
      </c>
      <c r="E82" t="s">
        <v>98</v>
      </c>
    </row>
    <row r="83" spans="1:5" x14ac:dyDescent="0.35">
      <c r="A83" t="s">
        <v>27</v>
      </c>
      <c r="B83">
        <v>20</v>
      </c>
      <c r="C83" t="e">
        <f ca="1">_xludf.MAXIFS(G$2:G$77,A$2:A$77,3)</f>
        <v>#NAME?</v>
      </c>
      <c r="D83">
        <f>SUMIF(A$2:A$77,3,G$2:G$77)</f>
        <v>595</v>
      </c>
      <c r="E83" t="s">
        <v>99</v>
      </c>
    </row>
    <row r="84" spans="1:5" x14ac:dyDescent="0.35">
      <c r="A84" t="s">
        <v>77</v>
      </c>
      <c r="B84">
        <v>30</v>
      </c>
      <c r="C84" t="e">
        <f ca="1">_xludf.MAXIFS(G$2:G$77,A$2:A$77,4)</f>
        <v>#NAME?</v>
      </c>
      <c r="D84">
        <f>SUMIF(A$2:A$77,4,G$2:G$77)</f>
        <v>65</v>
      </c>
      <c r="E84" t="s">
        <v>100</v>
      </c>
    </row>
    <row r="85" spans="1:5" x14ac:dyDescent="0.35">
      <c r="A85" t="s">
        <v>85</v>
      </c>
      <c r="B85">
        <v>10</v>
      </c>
      <c r="C85" t="e">
        <f ca="1">_xludf.MAXIFS(G$2:G$77,A$2:A$77,5)</f>
        <v>#NAME?</v>
      </c>
      <c r="D85">
        <f>SUMIF(A$2:A$77,5,G$2:G$77)</f>
        <v>30</v>
      </c>
      <c r="E85" t="s">
        <v>101</v>
      </c>
    </row>
    <row r="86" spans="1:5" x14ac:dyDescent="0.35">
      <c r="A86" s="2" t="s">
        <v>102</v>
      </c>
      <c r="B86" s="2">
        <v>115</v>
      </c>
      <c r="C86">
        <f>SUM(B81:B85)</f>
        <v>115</v>
      </c>
    </row>
  </sheetData>
  <mergeCells count="1">
    <mergeCell ref="A79:G79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Critérios de Pontuação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2026-07-14T15:53:32Z</dcterms:created>
  <dcterms:modified xsi:type="dcterms:W3CDTF">2026-07-16T20:52:30Z</dcterms:modified>
  <cp:category/>
  <cp:contentStatus/>
</cp:coreProperties>
</file>