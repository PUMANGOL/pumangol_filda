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ções" state="visible" r:id="rId4"/>
    <sheet sheetId="2" name="Classificação Final" state="visible" r:id="rId5"/>
    <sheet sheetId="3" name="Critérios de Pontuação" state="visible" r:id="rId6"/>
  </sheets>
  <calcPr calcId="171027"/>
</workbook>
</file>

<file path=xl/sharedStrings.xml><?xml version="1.0" encoding="utf-8"?>
<sst xmlns="http://schemas.openxmlformats.org/spreadsheetml/2006/main" count="548" uniqueCount="184">
  <si>
    <t>Modelo de Classificação de Leads — FILDA 2026</t>
  </si>
  <si>
    <t/>
  </si>
  <si>
    <t>Como utilizar este ficheiro</t>
  </si>
  <si>
    <t>1. Preencha a coluna «Peso» na folha «Critérios de Pontuação» (valores numéricos inteiros).</t>
  </si>
  <si>
    <t>2. O somatório dos MÁXIMOS por dimensão deve ser 115 pontos (25 + 30 + 20 + 30 + 10).</t>
  </si>
  <si>
    <t>3. Critério 1 (Perfil): seleção única — o peso máximo de uma opção deve igualar 25.</t>
  </si>
  <si>
    <t>4. Critério 2 (Interesse): multi-seleção — soma acumulativa com TETO de 30 pontos.</t>
  </si>
  <si>
    <t>5. Critério 3 (Potencial): campos condicionais — usar o MAIOR peso aplicável, com TETO de 20.</t>
  </si>
  <si>
    <t>6. Critério 4 (Horizonte): seleção única — o peso máximo deve igualar 30.</t>
  </si>
  <si>
    <t>7. Critério 5 (Contacto): seleção única — o peso máximo deve igualar 10.</t>
  </si>
  <si>
    <t>8. Potencial Fornecedor: fora do funil comercial (Portal KYC).</t>
  </si>
  <si>
    <t>Dimensões e tetos</t>
  </si>
  <si>
    <t>Dimensão</t>
  </si>
  <si>
    <t>Critério</t>
  </si>
  <si>
    <t>Máximo</t>
  </si>
  <si>
    <t>Regra de agregação</t>
  </si>
  <si>
    <t>Perfil</t>
  </si>
  <si>
    <t>Valor da opção seleccionada (única)</t>
  </si>
  <si>
    <t>Interesse</t>
  </si>
  <si>
    <t>Soma das soluções seleccionadas, limitada a 30</t>
  </si>
  <si>
    <t>Potencial</t>
  </si>
  <si>
    <t>Máximo entre campos condicionais preenchidos, limitado a 20</t>
  </si>
  <si>
    <t>Horizonte</t>
  </si>
  <si>
    <t>Valor do horizonte seleccionado (único)</t>
  </si>
  <si>
    <t>Contacto</t>
  </si>
  <si>
    <t>Valor da intenção de contacto (única)</t>
  </si>
  <si>
    <t>TOTAL</t>
  </si>
  <si>
    <t>Soma dos máximos das 5 dimensões</t>
  </si>
  <si>
    <t>Classificação</t>
  </si>
  <si>
    <t>Intervalo mínimo</t>
  </si>
  <si>
    <t>Intervalo máximo</t>
  </si>
  <si>
    <t>Características</t>
  </si>
  <si>
    <t>Acção comercial</t>
  </si>
  <si>
    <t>A+ (Muito Quente)</t>
  </si>
  <si>
    <t>Empresa; soluções estratégicas; elevado potencial; compra iminente</t>
  </si>
  <si>
    <t>Contacto em 24h — agendar reunião — Gestor Comercial</t>
  </si>
  <si>
    <t>A (Quente)</t>
  </si>
  <si>
    <t>Forte potencial; compra prevista até 3 meses</t>
  </si>
  <si>
    <t>Contacto até 72 horas</t>
  </si>
  <si>
    <t>B (Morna)</t>
  </si>
  <si>
    <t>Interesse evidente; horizonte médio</t>
  </si>
  <si>
    <t>Campanhas de nutrição; follow-up nas semanas seguintes</t>
  </si>
  <si>
    <t>C (Fria)</t>
  </si>
  <si>
    <t>Interesse exploratório; sem decisão imediata</t>
  </si>
  <si>
    <t>Marketing; newsletter; convites para eventos</t>
  </si>
  <si>
    <t>D</t>
  </si>
  <si>
    <t>Visitante; sem intenção comercial</t>
  </si>
  <si>
    <t>Registo estatístico; sem prioridade comercial</t>
  </si>
  <si>
    <t>FORNECEDOR</t>
  </si>
  <si>
    <t>—</t>
  </si>
  <si>
    <t>Potencial fornecedor</t>
  </si>
  <si>
    <t>Encaminhar para Portal KYC</t>
  </si>
  <si>
    <t>Máx. Dimensão</t>
  </si>
  <si>
    <t>Secção do Formulário</t>
  </si>
  <si>
    <t>Campo (BD)</t>
  </si>
  <si>
    <t>Opção / Valor</t>
  </si>
  <si>
    <t>Perfil aplicável</t>
  </si>
  <si>
    <t>Peso</t>
  </si>
  <si>
    <t>Notas / Regra</t>
  </si>
  <si>
    <t>Perfil do Visitante</t>
  </si>
  <si>
    <t>profile</t>
  </si>
  <si>
    <t>Empresa</t>
  </si>
  <si>
    <t>Seleção única</t>
  </si>
  <si>
    <t>Órgão Público</t>
  </si>
  <si>
    <t>Potencial Parceiro de Negócio</t>
  </si>
  <si>
    <t>Particular</t>
  </si>
  <si>
    <t>Potencial Fornecedor</t>
  </si>
  <si>
    <t>Fora do funil comercial — Portal KYC</t>
  </si>
  <si>
    <t>Outro</t>
  </si>
  <si>
    <t>Soluções de Interesse</t>
  </si>
  <si>
    <t>solutions</t>
  </si>
  <si>
    <t>Combustíveis</t>
  </si>
  <si>
    <t>Multi-seleção; soma com teto 30</t>
  </si>
  <si>
    <t>Lubrificantes</t>
  </si>
  <si>
    <t>VIA</t>
  </si>
  <si>
    <t>Cartão Presente</t>
  </si>
  <si>
    <t>Serviço Frota+</t>
  </si>
  <si>
    <t>Patrocínios</t>
  </si>
  <si>
    <t>Outros</t>
  </si>
  <si>
    <t>Empresa / Órgão Público</t>
  </si>
  <si>
    <t>Frota+</t>
  </si>
  <si>
    <t>Betumes e Emulsão</t>
  </si>
  <si>
    <t>Aviação</t>
  </si>
  <si>
    <t>Combustíveis (condicional)</t>
  </si>
  <si>
    <t>combustiveis_purpose</t>
  </si>
  <si>
    <t>Aparece se Combustíveis seleccionado</t>
  </si>
  <si>
    <t>Revenda</t>
  </si>
  <si>
    <t>combustiveis_consumption</t>
  </si>
  <si>
    <t>Até 5.000 litros</t>
  </si>
  <si>
    <t>Dropdown — consumo mensal</t>
  </si>
  <si>
    <t>5.000 – 20.000 litros</t>
  </si>
  <si>
    <t>20.000 – 100.000 litros</t>
  </si>
  <si>
    <t>Superior a 100.000 litros</t>
  </si>
  <si>
    <t>Lubrificantes (condicional)</t>
  </si>
  <si>
    <t>lubricant_vehicle_count_empresa</t>
  </si>
  <si>
    <t>1 – 5</t>
  </si>
  <si>
    <t>Dropdown — nº viaturas/equipamentos</t>
  </si>
  <si>
    <t>6 – 20</t>
  </si>
  <si>
    <t>21 – 50</t>
  </si>
  <si>
    <t>Mais de 50</t>
  </si>
  <si>
    <t>lubricant_vehicle_type_particular</t>
  </si>
  <si>
    <t>Viatura ligeira</t>
  </si>
  <si>
    <t>Aparece se Lubrificantes seleccionado</t>
  </si>
  <si>
    <t>Viatura pesada</t>
  </si>
  <si>
    <t>Motociclo</t>
  </si>
  <si>
    <t>Equipamento</t>
  </si>
  <si>
    <t>Frota+ (condicional)</t>
  </si>
  <si>
    <t>frota_vehicle_count</t>
  </si>
  <si>
    <t>1–5</t>
  </si>
  <si>
    <t>Dropdown — quantidade de viaturas</t>
  </si>
  <si>
    <t>6–20</t>
  </si>
  <si>
    <t>21–50</t>
  </si>
  <si>
    <t>frota_interest</t>
  </si>
  <si>
    <t>Uso pessoal</t>
  </si>
  <si>
    <t>Aparece se Frota+ seleccionado</t>
  </si>
  <si>
    <t>Gestão de frota</t>
  </si>
  <si>
    <t>Betumes e Emulsão (condicional)</t>
  </si>
  <si>
    <t>angobetumes_interest</t>
  </si>
  <si>
    <t>Projeto próprio</t>
  </si>
  <si>
    <t>Aparece se Betumes e Emulsão seleccionado</t>
  </si>
  <si>
    <t>Construção</t>
  </si>
  <si>
    <t>Parceria</t>
  </si>
  <si>
    <t>angobetumes_activity</t>
  </si>
  <si>
    <t>Construção Civil</t>
  </si>
  <si>
    <t>Dropdown — área de actividade</t>
  </si>
  <si>
    <t>Obras Públicas</t>
  </si>
  <si>
    <t>Infra-estruturas Rodoviárias</t>
  </si>
  <si>
    <t>Indústria</t>
  </si>
  <si>
    <t>Distribuidor de Materiais</t>
  </si>
  <si>
    <t>Aviação (condicional)</t>
  </si>
  <si>
    <t>aviacao_operation_type</t>
  </si>
  <si>
    <t>Companhia aérea</t>
  </si>
  <si>
    <t>Aparece se Aviação seleccionado</t>
  </si>
  <si>
    <t>Operador privado</t>
  </si>
  <si>
    <t>Governo</t>
  </si>
  <si>
    <t>Aeroporto</t>
  </si>
  <si>
    <t>Cartão Presente (condicional)</t>
  </si>
  <si>
    <t>card_purpose_particular</t>
  </si>
  <si>
    <t>Aparece se Cartão Presente seleccionado</t>
  </si>
  <si>
    <t>Oferta</t>
  </si>
  <si>
    <t>card_purpose_empresa</t>
  </si>
  <si>
    <t>Colaboradores</t>
  </si>
  <si>
    <t>Clientes</t>
  </si>
  <si>
    <t>Campanhas promocionais</t>
  </si>
  <si>
    <t>VIA (condicional)</t>
  </si>
  <si>
    <t>uses_via_app</t>
  </si>
  <si>
    <t>Sim — já utiliza a App VIA</t>
  </si>
  <si>
    <t>Aparece se VIA seleccionado</t>
  </si>
  <si>
    <t>Não — ainda não utiliza</t>
  </si>
  <si>
    <t>Relação comercial existente</t>
  </si>
  <si>
    <t>is_existing_client</t>
  </si>
  <si>
    <t>Sim — já é cliente</t>
  </si>
  <si>
    <t>Particular / Empresa</t>
  </si>
  <si>
    <t>Opcional — pode pontuar se aplicável</t>
  </si>
  <si>
    <t>Não — ainda não é cliente</t>
  </si>
  <si>
    <t>Qualificação Comercial</t>
  </si>
  <si>
    <t>purchase_timeline</t>
  </si>
  <si>
    <t>Imediatamente</t>
  </si>
  <si>
    <t>Todos (excepto Fornecedor)</t>
  </si>
  <si>
    <t>Nos próximos 3 meses</t>
  </si>
  <si>
    <t>Entre 3 e 6 meses</t>
  </si>
  <si>
    <t>Entre 6 e 12 meses</t>
  </si>
  <si>
    <t>Apenas estou a recolher informação</t>
  </si>
  <si>
    <t>wants_contact</t>
  </si>
  <si>
    <t>Sim — pretende ser contactado</t>
  </si>
  <si>
    <t>Não — não pretende contacto</t>
  </si>
  <si>
    <t>contact_preference</t>
  </si>
  <si>
    <t>Telefone</t>
  </si>
  <si>
    <t>Se wants_contact = Sim</t>
  </si>
  <si>
    <t>Multi-seleção — opcional</t>
  </si>
  <si>
    <t>WhatsApp</t>
  </si>
  <si>
    <t>E-mail</t>
  </si>
  <si>
    <t>Validação dos tetos por dimensão (preencher pesos acima)</t>
  </si>
  <si>
    <t>Máx. permitido</t>
  </si>
  <si>
    <t>Maior peso definido</t>
  </si>
  <si>
    <t>Soma pesos (ref.)</t>
  </si>
  <si>
    <t>Estado</t>
  </si>
  <si>
    <t>Maior peso = 25</t>
  </si>
  <si>
    <t>Teto acumulativo = 30</t>
  </si>
  <si>
    <t>Maior peso aplicável ≤ 20</t>
  </si>
  <si>
    <t>Maior peso = 30</t>
  </si>
  <si>
    <t>Maior peso = 10</t>
  </si>
  <si>
    <t>TOTAL MÁXIMO</t>
  </si>
  <si>
    <t>Soma dos máximos por dimensão = 115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</si>
</sst>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057143"/>
      <sz val="16"/>
    </font>
    <font>
      <b/>
      <sz val="12"/>
    </font>
    <font>
      <b/>
      <color rgb="FFFFFFFF"/>
      <sz val="11"/>
    </font>
    <font>
      <b/>
    </font>
    <font>
      <b/>
      <i/>
    </font>
  </fonts>
  <fills count="4">
    <fill>
      <patternFill patternType="none"/>
    </fill>
    <fill>
      <patternFill patternType="gray125"/>
    </fill>
    <fill>
      <patternFill patternType="solid">
        <fgColor rgb="FF057143"/>
      </patternFill>
    </fill>
    <fill>
      <patternFill patternType="solid">
        <fgColor rgb="FFE8F5EE"/>
      </patternFill>
    </fill>
  </fills>
  <borders count="3">
    <border>
      <left/>
      <right/>
      <top/>
      <bottom/>
      <diagonal/>
    </border>
    <border>
      <left/>
      <right/>
      <top/>
      <bottom style="thin">
        <color rgb="FF045A36"/>
      </bottom>
      <diagonal/>
    </border>
    <border>
      <left/>
      <right/>
      <top style="medium">
        <color rgb="FF045A36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/>
    <xf numFmtId="0" fontId="0" fillId="0" borderId="0" xfId="0" applyAlignment="1">
      <alignment vertical="top" wrapText="1"/>
    </xf>
    <xf numFmtId="0" fontId="0" fillId="3" borderId="0" xfId="0" applyFill="1" applyAlignment="1">
      <alignment horizontal="center" vertical="center"/>
    </xf>
    <xf numFmtId="0" fontId="0" fillId="0" borderId="2" xfId="0" applyBorder="1" applyAlignment="1">
      <alignment vertical="top" wrapText="1"/>
    </xf>
    <xf numFmtId="0" fontId="0" fillId="3" borderId="2" xfId="0" applyFill="1" applyBorder="1" applyAlignment="1">
      <alignment horizontal="center" vertic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FormatPr defaultRowHeight="15" outlineLevelRow="0" outlineLevelCol="0" x14ac:dyDescent="55" defaultColWidth="18"/>
  <cols>
    <col min="1" max="1" width="42" customWidth="1"/>
    <col min="4" max="4" width="52" customWidth="1"/>
  </cols>
  <sheetData>
    <row r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t="s">
        <v>1</v>
      </c>
    </row>
    <row r="3" spans="1:1" x14ac:dyDescent="0.25">
      <c r="A3" s="2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8</v>
      </c>
    </row>
    <row r="10" spans="1:1" x14ac:dyDescent="0.25">
      <c r="A10" t="s">
        <v>9</v>
      </c>
    </row>
    <row r="11" spans="1:1" x14ac:dyDescent="0.25">
      <c r="A11" t="s">
        <v>10</v>
      </c>
    </row>
    <row r="12" spans="1:1" x14ac:dyDescent="0.25">
      <c r="A12" t="s">
        <v>1</v>
      </c>
    </row>
    <row r="13" spans="1:1" x14ac:dyDescent="0.25">
      <c r="A13" t="s">
        <v>11</v>
      </c>
    </row>
    <row r="15" ht="22" customHeight="1" spans="1:4" x14ac:dyDescent="0.25">
      <c r="A15" s="3" t="s">
        <v>12</v>
      </c>
      <c r="B15" s="3" t="s">
        <v>13</v>
      </c>
      <c r="C15" s="3" t="s">
        <v>14</v>
      </c>
      <c r="D15" s="3" t="s">
        <v>15</v>
      </c>
    </row>
    <row r="16" spans="1:4" x14ac:dyDescent="0.25">
      <c r="A16" t="s">
        <v>16</v>
      </c>
      <c r="B16">
        <v>1</v>
      </c>
      <c r="C16">
        <v>25</v>
      </c>
      <c r="D16" t="s">
        <v>17</v>
      </c>
    </row>
    <row r="17" spans="1:4" x14ac:dyDescent="0.25">
      <c r="A17" t="s">
        <v>18</v>
      </c>
      <c r="B17">
        <v>2</v>
      </c>
      <c r="C17">
        <v>30</v>
      </c>
      <c r="D17" t="s">
        <v>19</v>
      </c>
    </row>
    <row r="18" spans="1:4" x14ac:dyDescent="0.25">
      <c r="A18" t="s">
        <v>20</v>
      </c>
      <c r="B18">
        <v>3</v>
      </c>
      <c r="C18">
        <v>20</v>
      </c>
      <c r="D18" t="s">
        <v>21</v>
      </c>
    </row>
    <row r="19" spans="1:4" x14ac:dyDescent="0.25">
      <c r="A19" t="s">
        <v>22</v>
      </c>
      <c r="B19">
        <v>4</v>
      </c>
      <c r="C19">
        <v>30</v>
      </c>
      <c r="D19" t="s">
        <v>23</v>
      </c>
    </row>
    <row r="20" spans="1:4" x14ac:dyDescent="0.25">
      <c r="A20" t="s">
        <v>24</v>
      </c>
      <c r="B20">
        <v>5</v>
      </c>
      <c r="C20">
        <v>10</v>
      </c>
      <c r="D20" t="s">
        <v>25</v>
      </c>
    </row>
    <row r="21" spans="1:4" s="4" customFormat="1" x14ac:dyDescent="0.25">
      <c r="A21" s="4" t="s">
        <v>26</v>
      </c>
      <c r="B21" s="4" t="s">
        <v>1</v>
      </c>
      <c r="C21" s="4">
        <v>115</v>
      </c>
      <c r="D21" s="4" t="s">
        <v>27</v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3" width="16" customWidth="1"/>
    <col min="4" max="4" width="40" customWidth="1"/>
    <col min="5" max="5" width="48" customWidth="1"/>
  </cols>
  <sheetData>
    <row r="1" ht="22" customHeight="1" spans="1:5" x14ac:dyDescent="0.25">
      <c r="A1" s="3" t="s">
        <v>28</v>
      </c>
      <c r="B1" s="3" t="s">
        <v>29</v>
      </c>
      <c r="C1" s="3" t="s">
        <v>30</v>
      </c>
      <c r="D1" s="3" t="s">
        <v>31</v>
      </c>
      <c r="E1" s="3" t="s">
        <v>32</v>
      </c>
    </row>
    <row r="2" spans="1:5" x14ac:dyDescent="0.25">
      <c r="A2" t="s">
        <v>33</v>
      </c>
      <c r="B2">
        <v>90</v>
      </c>
      <c r="C2">
        <v>115</v>
      </c>
      <c r="D2" t="s">
        <v>34</v>
      </c>
      <c r="E2" t="s">
        <v>35</v>
      </c>
    </row>
    <row r="3" spans="1:5" x14ac:dyDescent="0.25">
      <c r="A3" t="s">
        <v>36</v>
      </c>
      <c r="B3">
        <v>70</v>
      </c>
      <c r="C3">
        <v>89</v>
      </c>
      <c r="D3" t="s">
        <v>37</v>
      </c>
      <c r="E3" t="s">
        <v>38</v>
      </c>
    </row>
    <row r="4" spans="1:5" x14ac:dyDescent="0.25">
      <c r="A4" t="s">
        <v>39</v>
      </c>
      <c r="B4">
        <v>40</v>
      </c>
      <c r="C4">
        <v>69</v>
      </c>
      <c r="D4" t="s">
        <v>40</v>
      </c>
      <c r="E4" t="s">
        <v>41</v>
      </c>
    </row>
    <row r="5" spans="1:5" x14ac:dyDescent="0.25">
      <c r="A5" t="s">
        <v>42</v>
      </c>
      <c r="B5">
        <v>20</v>
      </c>
      <c r="C5">
        <v>39</v>
      </c>
      <c r="D5" t="s">
        <v>43</v>
      </c>
      <c r="E5" t="s">
        <v>44</v>
      </c>
    </row>
    <row r="6" spans="1:5" x14ac:dyDescent="0.25">
      <c r="A6" t="s">
        <v>45</v>
      </c>
      <c r="B6">
        <v>0</v>
      </c>
      <c r="C6">
        <v>19</v>
      </c>
      <c r="D6" t="s">
        <v>46</v>
      </c>
      <c r="E6" t="s">
        <v>47</v>
      </c>
    </row>
    <row r="7" spans="1:5" x14ac:dyDescent="0.25">
      <c r="A7" t="s">
        <v>48</v>
      </c>
      <c r="B7" t="s">
        <v>49</v>
      </c>
      <c r="C7" t="s">
        <v>49</v>
      </c>
      <c r="D7" t="s">
        <v>50</v>
      </c>
      <c r="E7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3" width="14" customWidth="1"/>
    <col min="4" max="4" width="28" customWidth="1"/>
    <col min="5" max="5" width="32" customWidth="1"/>
    <col min="6" max="6" width="36" customWidth="1"/>
    <col min="7" max="7" width="24" customWidth="1"/>
    <col min="8" max="8" width="10" customWidth="1"/>
    <col min="9" max="9" width="38" customWidth="1"/>
  </cols>
  <sheetData>
    <row r="1" ht="22" customHeight="1" spans="1:9" x14ac:dyDescent="0.25">
      <c r="A1" s="3" t="s">
        <v>13</v>
      </c>
      <c r="B1" s="3" t="s">
        <v>12</v>
      </c>
      <c r="C1" s="3" t="s">
        <v>52</v>
      </c>
      <c r="D1" s="3" t="s">
        <v>53</v>
      </c>
      <c r="E1" s="3" t="s">
        <v>54</v>
      </c>
      <c r="F1" s="3" t="s">
        <v>55</v>
      </c>
      <c r="G1" s="3" t="s">
        <v>56</v>
      </c>
      <c r="H1" s="3" t="s">
        <v>57</v>
      </c>
      <c r="I1" s="3" t="s">
        <v>58</v>
      </c>
    </row>
    <row r="2" spans="1:9" x14ac:dyDescent="0.25">
      <c r="A2" s="5">
        <v>1</v>
      </c>
      <c r="B2" s="5" t="s">
        <v>16</v>
      </c>
      <c r="C2" s="6">
        <v>25</v>
      </c>
      <c r="D2" s="5" t="s">
        <v>59</v>
      </c>
      <c r="E2" s="5" t="s">
        <v>60</v>
      </c>
      <c r="F2" s="5" t="s">
        <v>61</v>
      </c>
      <c r="G2" s="5" t="s">
        <v>49</v>
      </c>
      <c r="I2" s="5" t="s">
        <v>62</v>
      </c>
    </row>
    <row r="3" spans="1:9" x14ac:dyDescent="0.25">
      <c r="A3" s="5">
        <v>1</v>
      </c>
      <c r="B3" s="5" t="s">
        <v>16</v>
      </c>
      <c r="C3" s="6">
        <v>25</v>
      </c>
      <c r="D3" s="5" t="s">
        <v>59</v>
      </c>
      <c r="E3" s="5" t="s">
        <v>60</v>
      </c>
      <c r="F3" s="5" t="s">
        <v>63</v>
      </c>
      <c r="G3" s="5" t="s">
        <v>49</v>
      </c>
      <c r="I3" s="5" t="s">
        <v>62</v>
      </c>
    </row>
    <row r="4" spans="1:9" x14ac:dyDescent="0.25">
      <c r="A4" s="5">
        <v>1</v>
      </c>
      <c r="B4" s="5" t="s">
        <v>16</v>
      </c>
      <c r="C4" s="6">
        <v>25</v>
      </c>
      <c r="D4" s="5" t="s">
        <v>59</v>
      </c>
      <c r="E4" s="5" t="s">
        <v>60</v>
      </c>
      <c r="F4" s="5" t="s">
        <v>64</v>
      </c>
      <c r="G4" s="5" t="s">
        <v>49</v>
      </c>
      <c r="I4" s="5" t="s">
        <v>62</v>
      </c>
    </row>
    <row r="5" spans="1:9" x14ac:dyDescent="0.25">
      <c r="A5" s="5">
        <v>1</v>
      </c>
      <c r="B5" s="5" t="s">
        <v>16</v>
      </c>
      <c r="C5" s="6">
        <v>25</v>
      </c>
      <c r="D5" s="5" t="s">
        <v>59</v>
      </c>
      <c r="E5" s="5" t="s">
        <v>60</v>
      </c>
      <c r="F5" s="5" t="s">
        <v>65</v>
      </c>
      <c r="G5" s="5" t="s">
        <v>49</v>
      </c>
      <c r="I5" s="5" t="s">
        <v>62</v>
      </c>
    </row>
    <row r="6" spans="1:9" x14ac:dyDescent="0.25">
      <c r="A6" s="5">
        <v>1</v>
      </c>
      <c r="B6" s="5" t="s">
        <v>16</v>
      </c>
      <c r="C6" s="6">
        <v>25</v>
      </c>
      <c r="D6" s="5" t="s">
        <v>59</v>
      </c>
      <c r="E6" s="5" t="s">
        <v>60</v>
      </c>
      <c r="F6" s="5" t="s">
        <v>66</v>
      </c>
      <c r="G6" s="5" t="s">
        <v>49</v>
      </c>
      <c r="I6" s="5" t="s">
        <v>67</v>
      </c>
    </row>
    <row r="7" spans="1:9" x14ac:dyDescent="0.25">
      <c r="A7" s="5">
        <v>1</v>
      </c>
      <c r="B7" s="5" t="s">
        <v>16</v>
      </c>
      <c r="C7" s="6">
        <v>25</v>
      </c>
      <c r="D7" s="5" t="s">
        <v>59</v>
      </c>
      <c r="E7" s="5" t="s">
        <v>60</v>
      </c>
      <c r="F7" s="5" t="s">
        <v>68</v>
      </c>
      <c r="G7" s="5" t="s">
        <v>49</v>
      </c>
      <c r="I7" s="5" t="s">
        <v>62</v>
      </c>
    </row>
    <row r="8" spans="1:9" x14ac:dyDescent="0.25">
      <c r="A8" s="7">
        <v>2</v>
      </c>
      <c r="B8" s="7" t="s">
        <v>18</v>
      </c>
      <c r="C8" s="8">
        <v>30</v>
      </c>
      <c r="D8" s="7" t="s">
        <v>69</v>
      </c>
      <c r="E8" s="7" t="s">
        <v>70</v>
      </c>
      <c r="F8" s="7" t="s">
        <v>71</v>
      </c>
      <c r="G8" s="7" t="s">
        <v>65</v>
      </c>
      <c r="I8" s="7" t="s">
        <v>72</v>
      </c>
    </row>
    <row r="9" spans="1:9" x14ac:dyDescent="0.25">
      <c r="A9" s="5">
        <v>2</v>
      </c>
      <c r="B9" s="5" t="s">
        <v>18</v>
      </c>
      <c r="C9" s="6">
        <v>30</v>
      </c>
      <c r="D9" s="5" t="s">
        <v>69</v>
      </c>
      <c r="E9" s="5" t="s">
        <v>70</v>
      </c>
      <c r="F9" s="5" t="s">
        <v>73</v>
      </c>
      <c r="G9" s="5" t="s">
        <v>65</v>
      </c>
      <c r="I9" s="5" t="s">
        <v>72</v>
      </c>
    </row>
    <row r="10" spans="1:9" x14ac:dyDescent="0.25">
      <c r="A10" s="5">
        <v>2</v>
      </c>
      <c r="B10" s="5" t="s">
        <v>18</v>
      </c>
      <c r="C10" s="6">
        <v>30</v>
      </c>
      <c r="D10" s="5" t="s">
        <v>69</v>
      </c>
      <c r="E10" s="5" t="s">
        <v>70</v>
      </c>
      <c r="F10" s="5" t="s">
        <v>74</v>
      </c>
      <c r="G10" s="5" t="s">
        <v>65</v>
      </c>
      <c r="I10" s="5" t="s">
        <v>72</v>
      </c>
    </row>
    <row r="11" spans="1:9" x14ac:dyDescent="0.25">
      <c r="A11" s="5">
        <v>2</v>
      </c>
      <c r="B11" s="5" t="s">
        <v>18</v>
      </c>
      <c r="C11" s="6">
        <v>30</v>
      </c>
      <c r="D11" s="5" t="s">
        <v>69</v>
      </c>
      <c r="E11" s="5" t="s">
        <v>70</v>
      </c>
      <c r="F11" s="5" t="s">
        <v>75</v>
      </c>
      <c r="G11" s="5" t="s">
        <v>65</v>
      </c>
      <c r="I11" s="5" t="s">
        <v>72</v>
      </c>
    </row>
    <row r="12" spans="1:9" x14ac:dyDescent="0.25">
      <c r="A12" s="5">
        <v>2</v>
      </c>
      <c r="B12" s="5" t="s">
        <v>18</v>
      </c>
      <c r="C12" s="6">
        <v>30</v>
      </c>
      <c r="D12" s="5" t="s">
        <v>69</v>
      </c>
      <c r="E12" s="5" t="s">
        <v>70</v>
      </c>
      <c r="F12" s="5" t="s">
        <v>76</v>
      </c>
      <c r="G12" s="5" t="s">
        <v>65</v>
      </c>
      <c r="I12" s="5" t="s">
        <v>72</v>
      </c>
    </row>
    <row r="13" spans="1:9" x14ac:dyDescent="0.25">
      <c r="A13" s="5">
        <v>2</v>
      </c>
      <c r="B13" s="5" t="s">
        <v>18</v>
      </c>
      <c r="C13" s="6">
        <v>30</v>
      </c>
      <c r="D13" s="5" t="s">
        <v>69</v>
      </c>
      <c r="E13" s="5" t="s">
        <v>70</v>
      </c>
      <c r="F13" s="5" t="s">
        <v>77</v>
      </c>
      <c r="G13" s="5" t="s">
        <v>65</v>
      </c>
      <c r="I13" s="5" t="s">
        <v>72</v>
      </c>
    </row>
    <row r="14" spans="1:9" x14ac:dyDescent="0.25">
      <c r="A14" s="5">
        <v>2</v>
      </c>
      <c r="B14" s="5" t="s">
        <v>18</v>
      </c>
      <c r="C14" s="6">
        <v>30</v>
      </c>
      <c r="D14" s="5" t="s">
        <v>69</v>
      </c>
      <c r="E14" s="5" t="s">
        <v>70</v>
      </c>
      <c r="F14" s="5" t="s">
        <v>78</v>
      </c>
      <c r="G14" s="5" t="s">
        <v>65</v>
      </c>
      <c r="I14" s="5" t="s">
        <v>72</v>
      </c>
    </row>
    <row r="15" spans="1:9" x14ac:dyDescent="0.25">
      <c r="A15" s="5">
        <v>2</v>
      </c>
      <c r="B15" s="5" t="s">
        <v>18</v>
      </c>
      <c r="C15" s="6">
        <v>30</v>
      </c>
      <c r="D15" s="5" t="s">
        <v>69</v>
      </c>
      <c r="E15" s="5" t="s">
        <v>70</v>
      </c>
      <c r="F15" s="5" t="s">
        <v>71</v>
      </c>
      <c r="G15" s="5" t="s">
        <v>79</v>
      </c>
      <c r="I15" s="5" t="s">
        <v>72</v>
      </c>
    </row>
    <row r="16" spans="1:9" x14ac:dyDescent="0.25">
      <c r="A16" s="5">
        <v>2</v>
      </c>
      <c r="B16" s="5" t="s">
        <v>18</v>
      </c>
      <c r="C16" s="6">
        <v>30</v>
      </c>
      <c r="D16" s="5" t="s">
        <v>69</v>
      </c>
      <c r="E16" s="5" t="s">
        <v>70</v>
      </c>
      <c r="F16" s="5" t="s">
        <v>73</v>
      </c>
      <c r="G16" s="5" t="s">
        <v>79</v>
      </c>
      <c r="I16" s="5" t="s">
        <v>72</v>
      </c>
    </row>
    <row r="17" spans="1:9" x14ac:dyDescent="0.25">
      <c r="A17" s="5">
        <v>2</v>
      </c>
      <c r="B17" s="5" t="s">
        <v>18</v>
      </c>
      <c r="C17" s="6">
        <v>30</v>
      </c>
      <c r="D17" s="5" t="s">
        <v>69</v>
      </c>
      <c r="E17" s="5" t="s">
        <v>70</v>
      </c>
      <c r="F17" s="5" t="s">
        <v>80</v>
      </c>
      <c r="G17" s="5" t="s">
        <v>79</v>
      </c>
      <c r="I17" s="5" t="s">
        <v>72</v>
      </c>
    </row>
    <row r="18" spans="1:9" x14ac:dyDescent="0.25">
      <c r="A18" s="5">
        <v>2</v>
      </c>
      <c r="B18" s="5" t="s">
        <v>18</v>
      </c>
      <c r="C18" s="6">
        <v>30</v>
      </c>
      <c r="D18" s="5" t="s">
        <v>69</v>
      </c>
      <c r="E18" s="5" t="s">
        <v>70</v>
      </c>
      <c r="F18" s="5" t="s">
        <v>75</v>
      </c>
      <c r="G18" s="5" t="s">
        <v>79</v>
      </c>
      <c r="I18" s="5" t="s">
        <v>72</v>
      </c>
    </row>
    <row r="19" spans="1:9" x14ac:dyDescent="0.25">
      <c r="A19" s="5">
        <v>2</v>
      </c>
      <c r="B19" s="5" t="s">
        <v>18</v>
      </c>
      <c r="C19" s="6">
        <v>30</v>
      </c>
      <c r="D19" s="5" t="s">
        <v>69</v>
      </c>
      <c r="E19" s="5" t="s">
        <v>70</v>
      </c>
      <c r="F19" s="5" t="s">
        <v>81</v>
      </c>
      <c r="G19" s="5" t="s">
        <v>79</v>
      </c>
      <c r="I19" s="5" t="s">
        <v>72</v>
      </c>
    </row>
    <row r="20" spans="1:9" x14ac:dyDescent="0.25">
      <c r="A20" s="5">
        <v>2</v>
      </c>
      <c r="B20" s="5" t="s">
        <v>18</v>
      </c>
      <c r="C20" s="6">
        <v>30</v>
      </c>
      <c r="D20" s="5" t="s">
        <v>69</v>
      </c>
      <c r="E20" s="5" t="s">
        <v>70</v>
      </c>
      <c r="F20" s="5" t="s">
        <v>82</v>
      </c>
      <c r="G20" s="5" t="s">
        <v>79</v>
      </c>
      <c r="I20" s="5" t="s">
        <v>72</v>
      </c>
    </row>
    <row r="21" spans="1:9" x14ac:dyDescent="0.25">
      <c r="A21" s="5">
        <v>2</v>
      </c>
      <c r="B21" s="5" t="s">
        <v>18</v>
      </c>
      <c r="C21" s="6">
        <v>30</v>
      </c>
      <c r="D21" s="5" t="s">
        <v>69</v>
      </c>
      <c r="E21" s="5" t="s">
        <v>70</v>
      </c>
      <c r="F21" s="5" t="s">
        <v>77</v>
      </c>
      <c r="G21" s="5" t="s">
        <v>79</v>
      </c>
      <c r="I21" s="5" t="s">
        <v>72</v>
      </c>
    </row>
    <row r="22" spans="1:9" x14ac:dyDescent="0.25">
      <c r="A22" s="5">
        <v>2</v>
      </c>
      <c r="B22" s="5" t="s">
        <v>18</v>
      </c>
      <c r="C22" s="6">
        <v>30</v>
      </c>
      <c r="D22" s="5" t="s">
        <v>69</v>
      </c>
      <c r="E22" s="5" t="s">
        <v>70</v>
      </c>
      <c r="F22" s="5" t="s">
        <v>78</v>
      </c>
      <c r="G22" s="5" t="s">
        <v>79</v>
      </c>
      <c r="I22" s="5" t="s">
        <v>72</v>
      </c>
    </row>
    <row r="23" spans="1:9" x14ac:dyDescent="0.25">
      <c r="A23" s="7">
        <v>3</v>
      </c>
      <c r="B23" s="7" t="s">
        <v>20</v>
      </c>
      <c r="C23" s="8">
        <v>20</v>
      </c>
      <c r="D23" s="7" t="s">
        <v>83</v>
      </c>
      <c r="E23" s="7" t="s">
        <v>84</v>
      </c>
      <c r="F23" s="7" t="s">
        <v>61</v>
      </c>
      <c r="G23" s="7" t="s">
        <v>79</v>
      </c>
      <c r="I23" s="7" t="s">
        <v>85</v>
      </c>
    </row>
    <row r="24" spans="1:9" x14ac:dyDescent="0.25">
      <c r="A24" s="5">
        <v>3</v>
      </c>
      <c r="B24" s="5" t="s">
        <v>20</v>
      </c>
      <c r="C24" s="6">
        <v>20</v>
      </c>
      <c r="D24" s="5" t="s">
        <v>83</v>
      </c>
      <c r="E24" s="5" t="s">
        <v>84</v>
      </c>
      <c r="F24" s="5" t="s">
        <v>86</v>
      </c>
      <c r="G24" s="5" t="s">
        <v>79</v>
      </c>
      <c r="I24" s="5" t="s">
        <v>85</v>
      </c>
    </row>
    <row r="25" spans="1:9" x14ac:dyDescent="0.25">
      <c r="A25" s="5">
        <v>3</v>
      </c>
      <c r="B25" s="5" t="s">
        <v>20</v>
      </c>
      <c r="C25" s="6">
        <v>20</v>
      </c>
      <c r="D25" s="5" t="s">
        <v>83</v>
      </c>
      <c r="E25" s="5" t="s">
        <v>87</v>
      </c>
      <c r="F25" s="5" t="s">
        <v>88</v>
      </c>
      <c r="G25" s="5" t="s">
        <v>79</v>
      </c>
      <c r="I25" s="5" t="s">
        <v>89</v>
      </c>
    </row>
    <row r="26" spans="1:9" x14ac:dyDescent="0.25">
      <c r="A26" s="5">
        <v>3</v>
      </c>
      <c r="B26" s="5" t="s">
        <v>20</v>
      </c>
      <c r="C26" s="6">
        <v>20</v>
      </c>
      <c r="D26" s="5" t="s">
        <v>83</v>
      </c>
      <c r="E26" s="5" t="s">
        <v>87</v>
      </c>
      <c r="F26" s="5" t="s">
        <v>90</v>
      </c>
      <c r="G26" s="5" t="s">
        <v>79</v>
      </c>
      <c r="I26" s="5" t="s">
        <v>89</v>
      </c>
    </row>
    <row r="27" spans="1:9" x14ac:dyDescent="0.25">
      <c r="A27" s="5">
        <v>3</v>
      </c>
      <c r="B27" s="5" t="s">
        <v>20</v>
      </c>
      <c r="C27" s="6">
        <v>20</v>
      </c>
      <c r="D27" s="5" t="s">
        <v>83</v>
      </c>
      <c r="E27" s="5" t="s">
        <v>87</v>
      </c>
      <c r="F27" s="5" t="s">
        <v>91</v>
      </c>
      <c r="G27" s="5" t="s">
        <v>79</v>
      </c>
      <c r="I27" s="5" t="s">
        <v>89</v>
      </c>
    </row>
    <row r="28" spans="1:9" x14ac:dyDescent="0.25">
      <c r="A28" s="5">
        <v>3</v>
      </c>
      <c r="B28" s="5" t="s">
        <v>20</v>
      </c>
      <c r="C28" s="6">
        <v>20</v>
      </c>
      <c r="D28" s="5" t="s">
        <v>83</v>
      </c>
      <c r="E28" s="5" t="s">
        <v>87</v>
      </c>
      <c r="F28" s="5" t="s">
        <v>92</v>
      </c>
      <c r="G28" s="5" t="s">
        <v>79</v>
      </c>
      <c r="I28" s="5" t="s">
        <v>89</v>
      </c>
    </row>
    <row r="29" spans="1:9" x14ac:dyDescent="0.25">
      <c r="A29" s="5">
        <v>3</v>
      </c>
      <c r="B29" s="5" t="s">
        <v>20</v>
      </c>
      <c r="C29" s="6">
        <v>20</v>
      </c>
      <c r="D29" s="5" t="s">
        <v>93</v>
      </c>
      <c r="E29" s="5" t="s">
        <v>94</v>
      </c>
      <c r="F29" s="5" t="s">
        <v>95</v>
      </c>
      <c r="G29" s="5" t="s">
        <v>79</v>
      </c>
      <c r="I29" s="5" t="s">
        <v>96</v>
      </c>
    </row>
    <row r="30" spans="1:9" x14ac:dyDescent="0.25">
      <c r="A30" s="5">
        <v>3</v>
      </c>
      <c r="B30" s="5" t="s">
        <v>20</v>
      </c>
      <c r="C30" s="6">
        <v>20</v>
      </c>
      <c r="D30" s="5" t="s">
        <v>93</v>
      </c>
      <c r="E30" s="5" t="s">
        <v>94</v>
      </c>
      <c r="F30" s="5" t="s">
        <v>97</v>
      </c>
      <c r="G30" s="5" t="s">
        <v>79</v>
      </c>
      <c r="I30" s="5" t="s">
        <v>96</v>
      </c>
    </row>
    <row r="31" spans="1:9" x14ac:dyDescent="0.25">
      <c r="A31" s="5">
        <v>3</v>
      </c>
      <c r="B31" s="5" t="s">
        <v>20</v>
      </c>
      <c r="C31" s="6">
        <v>20</v>
      </c>
      <c r="D31" s="5" t="s">
        <v>93</v>
      </c>
      <c r="E31" s="5" t="s">
        <v>94</v>
      </c>
      <c r="F31" s="5" t="s">
        <v>98</v>
      </c>
      <c r="G31" s="5" t="s">
        <v>79</v>
      </c>
      <c r="I31" s="5" t="s">
        <v>96</v>
      </c>
    </row>
    <row r="32" spans="1:9" x14ac:dyDescent="0.25">
      <c r="A32" s="5">
        <v>3</v>
      </c>
      <c r="B32" s="5" t="s">
        <v>20</v>
      </c>
      <c r="C32" s="6">
        <v>20</v>
      </c>
      <c r="D32" s="5" t="s">
        <v>93</v>
      </c>
      <c r="E32" s="5" t="s">
        <v>94</v>
      </c>
      <c r="F32" s="5" t="s">
        <v>99</v>
      </c>
      <c r="G32" s="5" t="s">
        <v>79</v>
      </c>
      <c r="I32" s="5" t="s">
        <v>96</v>
      </c>
    </row>
    <row r="33" spans="1:9" x14ac:dyDescent="0.25">
      <c r="A33" s="5">
        <v>3</v>
      </c>
      <c r="B33" s="5" t="s">
        <v>20</v>
      </c>
      <c r="C33" s="6">
        <v>20</v>
      </c>
      <c r="D33" s="5" t="s">
        <v>93</v>
      </c>
      <c r="E33" s="5" t="s">
        <v>100</v>
      </c>
      <c r="F33" s="5" t="s">
        <v>101</v>
      </c>
      <c r="G33" s="5" t="s">
        <v>65</v>
      </c>
      <c r="I33" s="5" t="s">
        <v>102</v>
      </c>
    </row>
    <row r="34" spans="1:9" x14ac:dyDescent="0.25">
      <c r="A34" s="5">
        <v>3</v>
      </c>
      <c r="B34" s="5" t="s">
        <v>20</v>
      </c>
      <c r="C34" s="6">
        <v>20</v>
      </c>
      <c r="D34" s="5" t="s">
        <v>93</v>
      </c>
      <c r="E34" s="5" t="s">
        <v>100</v>
      </c>
      <c r="F34" s="5" t="s">
        <v>103</v>
      </c>
      <c r="G34" s="5" t="s">
        <v>65</v>
      </c>
      <c r="I34" s="5" t="s">
        <v>102</v>
      </c>
    </row>
    <row r="35" spans="1:9" x14ac:dyDescent="0.25">
      <c r="A35" s="5">
        <v>3</v>
      </c>
      <c r="B35" s="5" t="s">
        <v>20</v>
      </c>
      <c r="C35" s="6">
        <v>20</v>
      </c>
      <c r="D35" s="5" t="s">
        <v>93</v>
      </c>
      <c r="E35" s="5" t="s">
        <v>100</v>
      </c>
      <c r="F35" s="5" t="s">
        <v>104</v>
      </c>
      <c r="G35" s="5" t="s">
        <v>65</v>
      </c>
      <c r="I35" s="5" t="s">
        <v>102</v>
      </c>
    </row>
    <row r="36" spans="1:9" x14ac:dyDescent="0.25">
      <c r="A36" s="5">
        <v>3</v>
      </c>
      <c r="B36" s="5" t="s">
        <v>20</v>
      </c>
      <c r="C36" s="6">
        <v>20</v>
      </c>
      <c r="D36" s="5" t="s">
        <v>93</v>
      </c>
      <c r="E36" s="5" t="s">
        <v>100</v>
      </c>
      <c r="F36" s="5" t="s">
        <v>105</v>
      </c>
      <c r="G36" s="5" t="s">
        <v>65</v>
      </c>
      <c r="I36" s="5" t="s">
        <v>102</v>
      </c>
    </row>
    <row r="37" spans="1:9" x14ac:dyDescent="0.25">
      <c r="A37" s="5">
        <v>3</v>
      </c>
      <c r="B37" s="5" t="s">
        <v>20</v>
      </c>
      <c r="C37" s="6">
        <v>20</v>
      </c>
      <c r="D37" s="5" t="s">
        <v>93</v>
      </c>
      <c r="E37" s="5" t="s">
        <v>100</v>
      </c>
      <c r="F37" s="5" t="s">
        <v>68</v>
      </c>
      <c r="G37" s="5" t="s">
        <v>65</v>
      </c>
      <c r="I37" s="5" t="s">
        <v>102</v>
      </c>
    </row>
    <row r="38" spans="1:9" x14ac:dyDescent="0.25">
      <c r="A38" s="5">
        <v>3</v>
      </c>
      <c r="B38" s="5" t="s">
        <v>20</v>
      </c>
      <c r="C38" s="6">
        <v>20</v>
      </c>
      <c r="D38" s="5" t="s">
        <v>106</v>
      </c>
      <c r="E38" s="5" t="s">
        <v>107</v>
      </c>
      <c r="F38" s="5" t="s">
        <v>108</v>
      </c>
      <c r="G38" s="5" t="s">
        <v>79</v>
      </c>
      <c r="I38" s="5" t="s">
        <v>109</v>
      </c>
    </row>
    <row r="39" spans="1:9" x14ac:dyDescent="0.25">
      <c r="A39" s="5">
        <v>3</v>
      </c>
      <c r="B39" s="5" t="s">
        <v>20</v>
      </c>
      <c r="C39" s="6">
        <v>20</v>
      </c>
      <c r="D39" s="5" t="s">
        <v>106</v>
      </c>
      <c r="E39" s="5" t="s">
        <v>107</v>
      </c>
      <c r="F39" s="5" t="s">
        <v>110</v>
      </c>
      <c r="G39" s="5" t="s">
        <v>79</v>
      </c>
      <c r="I39" s="5" t="s">
        <v>109</v>
      </c>
    </row>
    <row r="40" spans="1:9" x14ac:dyDescent="0.25">
      <c r="A40" s="5">
        <v>3</v>
      </c>
      <c r="B40" s="5" t="s">
        <v>20</v>
      </c>
      <c r="C40" s="6">
        <v>20</v>
      </c>
      <c r="D40" s="5" t="s">
        <v>106</v>
      </c>
      <c r="E40" s="5" t="s">
        <v>107</v>
      </c>
      <c r="F40" s="5" t="s">
        <v>111</v>
      </c>
      <c r="G40" s="5" t="s">
        <v>79</v>
      </c>
      <c r="I40" s="5" t="s">
        <v>109</v>
      </c>
    </row>
    <row r="41" spans="1:9" x14ac:dyDescent="0.25">
      <c r="A41" s="5">
        <v>3</v>
      </c>
      <c r="B41" s="5" t="s">
        <v>20</v>
      </c>
      <c r="C41" s="6">
        <v>20</v>
      </c>
      <c r="D41" s="5" t="s">
        <v>106</v>
      </c>
      <c r="E41" s="5" t="s">
        <v>107</v>
      </c>
      <c r="F41" s="5" t="s">
        <v>99</v>
      </c>
      <c r="G41" s="5" t="s">
        <v>79</v>
      </c>
      <c r="I41" s="5" t="s">
        <v>109</v>
      </c>
    </row>
    <row r="42" spans="1:9" x14ac:dyDescent="0.25">
      <c r="A42" s="5">
        <v>3</v>
      </c>
      <c r="B42" s="5" t="s">
        <v>20</v>
      </c>
      <c r="C42" s="6">
        <v>20</v>
      </c>
      <c r="D42" s="5" t="s">
        <v>106</v>
      </c>
      <c r="E42" s="5" t="s">
        <v>112</v>
      </c>
      <c r="F42" s="5" t="s">
        <v>113</v>
      </c>
      <c r="G42" s="5" t="s">
        <v>79</v>
      </c>
      <c r="I42" s="5" t="s">
        <v>114</v>
      </c>
    </row>
    <row r="43" spans="1:9" x14ac:dyDescent="0.25">
      <c r="A43" s="5">
        <v>3</v>
      </c>
      <c r="B43" s="5" t="s">
        <v>20</v>
      </c>
      <c r="C43" s="6">
        <v>20</v>
      </c>
      <c r="D43" s="5" t="s">
        <v>106</v>
      </c>
      <c r="E43" s="5" t="s">
        <v>112</v>
      </c>
      <c r="F43" s="5" t="s">
        <v>115</v>
      </c>
      <c r="G43" s="5" t="s">
        <v>79</v>
      </c>
      <c r="I43" s="5" t="s">
        <v>114</v>
      </c>
    </row>
    <row r="44" spans="1:9" x14ac:dyDescent="0.25">
      <c r="A44" s="5">
        <v>3</v>
      </c>
      <c r="B44" s="5" t="s">
        <v>20</v>
      </c>
      <c r="C44" s="6">
        <v>20</v>
      </c>
      <c r="D44" s="5" t="s">
        <v>116</v>
      </c>
      <c r="E44" s="5" t="s">
        <v>117</v>
      </c>
      <c r="F44" s="5" t="s">
        <v>118</v>
      </c>
      <c r="G44" s="5" t="s">
        <v>79</v>
      </c>
      <c r="I44" s="5" t="s">
        <v>119</v>
      </c>
    </row>
    <row r="45" spans="1:9" x14ac:dyDescent="0.25">
      <c r="A45" s="5">
        <v>3</v>
      </c>
      <c r="B45" s="5" t="s">
        <v>20</v>
      </c>
      <c r="C45" s="6">
        <v>20</v>
      </c>
      <c r="D45" s="5" t="s">
        <v>116</v>
      </c>
      <c r="E45" s="5" t="s">
        <v>117</v>
      </c>
      <c r="F45" s="5" t="s">
        <v>120</v>
      </c>
      <c r="G45" s="5" t="s">
        <v>79</v>
      </c>
      <c r="I45" s="5" t="s">
        <v>119</v>
      </c>
    </row>
    <row r="46" spans="1:9" x14ac:dyDescent="0.25">
      <c r="A46" s="5">
        <v>3</v>
      </c>
      <c r="B46" s="5" t="s">
        <v>20</v>
      </c>
      <c r="C46" s="6">
        <v>20</v>
      </c>
      <c r="D46" s="5" t="s">
        <v>116</v>
      </c>
      <c r="E46" s="5" t="s">
        <v>117</v>
      </c>
      <c r="F46" s="5" t="s">
        <v>86</v>
      </c>
      <c r="G46" s="5" t="s">
        <v>79</v>
      </c>
      <c r="I46" s="5" t="s">
        <v>119</v>
      </c>
    </row>
    <row r="47" spans="1:9" x14ac:dyDescent="0.25">
      <c r="A47" s="5">
        <v>3</v>
      </c>
      <c r="B47" s="5" t="s">
        <v>20</v>
      </c>
      <c r="C47" s="6">
        <v>20</v>
      </c>
      <c r="D47" s="5" t="s">
        <v>116</v>
      </c>
      <c r="E47" s="5" t="s">
        <v>117</v>
      </c>
      <c r="F47" s="5" t="s">
        <v>121</v>
      </c>
      <c r="G47" s="5" t="s">
        <v>79</v>
      </c>
      <c r="I47" s="5" t="s">
        <v>119</v>
      </c>
    </row>
    <row r="48" spans="1:9" x14ac:dyDescent="0.25">
      <c r="A48" s="5">
        <v>3</v>
      </c>
      <c r="B48" s="5" t="s">
        <v>20</v>
      </c>
      <c r="C48" s="6">
        <v>20</v>
      </c>
      <c r="D48" s="5" t="s">
        <v>116</v>
      </c>
      <c r="E48" s="5" t="s">
        <v>122</v>
      </c>
      <c r="F48" s="5" t="s">
        <v>123</v>
      </c>
      <c r="G48" s="5" t="s">
        <v>79</v>
      </c>
      <c r="I48" s="5" t="s">
        <v>124</v>
      </c>
    </row>
    <row r="49" spans="1:9" x14ac:dyDescent="0.25">
      <c r="A49" s="5">
        <v>3</v>
      </c>
      <c r="B49" s="5" t="s">
        <v>20</v>
      </c>
      <c r="C49" s="6">
        <v>20</v>
      </c>
      <c r="D49" s="5" t="s">
        <v>116</v>
      </c>
      <c r="E49" s="5" t="s">
        <v>122</v>
      </c>
      <c r="F49" s="5" t="s">
        <v>125</v>
      </c>
      <c r="G49" s="5" t="s">
        <v>79</v>
      </c>
      <c r="I49" s="5" t="s">
        <v>124</v>
      </c>
    </row>
    <row r="50" spans="1:9" x14ac:dyDescent="0.25">
      <c r="A50" s="5">
        <v>3</v>
      </c>
      <c r="B50" s="5" t="s">
        <v>20</v>
      </c>
      <c r="C50" s="6">
        <v>20</v>
      </c>
      <c r="D50" s="5" t="s">
        <v>116</v>
      </c>
      <c r="E50" s="5" t="s">
        <v>122</v>
      </c>
      <c r="F50" s="5" t="s">
        <v>126</v>
      </c>
      <c r="G50" s="5" t="s">
        <v>79</v>
      </c>
      <c r="I50" s="5" t="s">
        <v>124</v>
      </c>
    </row>
    <row r="51" spans="1:9" x14ac:dyDescent="0.25">
      <c r="A51" s="5">
        <v>3</v>
      </c>
      <c r="B51" s="5" t="s">
        <v>20</v>
      </c>
      <c r="C51" s="6">
        <v>20</v>
      </c>
      <c r="D51" s="5" t="s">
        <v>116</v>
      </c>
      <c r="E51" s="5" t="s">
        <v>122</v>
      </c>
      <c r="F51" s="5" t="s">
        <v>127</v>
      </c>
      <c r="G51" s="5" t="s">
        <v>79</v>
      </c>
      <c r="I51" s="5" t="s">
        <v>124</v>
      </c>
    </row>
    <row r="52" spans="1:9" x14ac:dyDescent="0.25">
      <c r="A52" s="5">
        <v>3</v>
      </c>
      <c r="B52" s="5" t="s">
        <v>20</v>
      </c>
      <c r="C52" s="6">
        <v>20</v>
      </c>
      <c r="D52" s="5" t="s">
        <v>116</v>
      </c>
      <c r="E52" s="5" t="s">
        <v>122</v>
      </c>
      <c r="F52" s="5" t="s">
        <v>128</v>
      </c>
      <c r="G52" s="5" t="s">
        <v>79</v>
      </c>
      <c r="I52" s="5" t="s">
        <v>124</v>
      </c>
    </row>
    <row r="53" spans="1:9" x14ac:dyDescent="0.25">
      <c r="A53" s="5">
        <v>3</v>
      </c>
      <c r="B53" s="5" t="s">
        <v>20</v>
      </c>
      <c r="C53" s="6">
        <v>20</v>
      </c>
      <c r="D53" s="5" t="s">
        <v>116</v>
      </c>
      <c r="E53" s="5" t="s">
        <v>122</v>
      </c>
      <c r="F53" s="5" t="s">
        <v>68</v>
      </c>
      <c r="G53" s="5" t="s">
        <v>79</v>
      </c>
      <c r="I53" s="5" t="s">
        <v>124</v>
      </c>
    </row>
    <row r="54" spans="1:9" x14ac:dyDescent="0.25">
      <c r="A54" s="5">
        <v>3</v>
      </c>
      <c r="B54" s="5" t="s">
        <v>20</v>
      </c>
      <c r="C54" s="6">
        <v>20</v>
      </c>
      <c r="D54" s="5" t="s">
        <v>129</v>
      </c>
      <c r="E54" s="5" t="s">
        <v>130</v>
      </c>
      <c r="F54" s="5" t="s">
        <v>131</v>
      </c>
      <c r="G54" s="5" t="s">
        <v>79</v>
      </c>
      <c r="I54" s="5" t="s">
        <v>132</v>
      </c>
    </row>
    <row r="55" spans="1:9" x14ac:dyDescent="0.25">
      <c r="A55" s="5">
        <v>3</v>
      </c>
      <c r="B55" s="5" t="s">
        <v>20</v>
      </c>
      <c r="C55" s="6">
        <v>20</v>
      </c>
      <c r="D55" s="5" t="s">
        <v>129</v>
      </c>
      <c r="E55" s="5" t="s">
        <v>130</v>
      </c>
      <c r="F55" s="5" t="s">
        <v>133</v>
      </c>
      <c r="G55" s="5" t="s">
        <v>79</v>
      </c>
      <c r="I55" s="5" t="s">
        <v>132</v>
      </c>
    </row>
    <row r="56" spans="1:9" x14ac:dyDescent="0.25">
      <c r="A56" s="5">
        <v>3</v>
      </c>
      <c r="B56" s="5" t="s">
        <v>20</v>
      </c>
      <c r="C56" s="6">
        <v>20</v>
      </c>
      <c r="D56" s="5" t="s">
        <v>129</v>
      </c>
      <c r="E56" s="5" t="s">
        <v>130</v>
      </c>
      <c r="F56" s="5" t="s">
        <v>134</v>
      </c>
      <c r="G56" s="5" t="s">
        <v>79</v>
      </c>
      <c r="I56" s="5" t="s">
        <v>132</v>
      </c>
    </row>
    <row r="57" spans="1:9" x14ac:dyDescent="0.25">
      <c r="A57" s="5">
        <v>3</v>
      </c>
      <c r="B57" s="5" t="s">
        <v>20</v>
      </c>
      <c r="C57" s="6">
        <v>20</v>
      </c>
      <c r="D57" s="5" t="s">
        <v>129</v>
      </c>
      <c r="E57" s="5" t="s">
        <v>130</v>
      </c>
      <c r="F57" s="5" t="s">
        <v>135</v>
      </c>
      <c r="G57" s="5" t="s">
        <v>79</v>
      </c>
      <c r="I57" s="5" t="s">
        <v>132</v>
      </c>
    </row>
    <row r="58" spans="1:9" x14ac:dyDescent="0.25">
      <c r="A58" s="5">
        <v>3</v>
      </c>
      <c r="B58" s="5" t="s">
        <v>20</v>
      </c>
      <c r="C58" s="6">
        <v>20</v>
      </c>
      <c r="D58" s="5" t="s">
        <v>129</v>
      </c>
      <c r="E58" s="5" t="s">
        <v>130</v>
      </c>
      <c r="F58" s="5" t="s">
        <v>68</v>
      </c>
      <c r="G58" s="5" t="s">
        <v>79</v>
      </c>
      <c r="I58" s="5" t="s">
        <v>132</v>
      </c>
    </row>
    <row r="59" spans="1:9" x14ac:dyDescent="0.25">
      <c r="A59" s="5">
        <v>3</v>
      </c>
      <c r="B59" s="5" t="s">
        <v>20</v>
      </c>
      <c r="C59" s="6">
        <v>20</v>
      </c>
      <c r="D59" s="5" t="s">
        <v>136</v>
      </c>
      <c r="E59" s="5" t="s">
        <v>137</v>
      </c>
      <c r="F59" s="5" t="s">
        <v>113</v>
      </c>
      <c r="G59" s="5" t="s">
        <v>65</v>
      </c>
      <c r="I59" s="5" t="s">
        <v>138</v>
      </c>
    </row>
    <row r="60" spans="1:9" x14ac:dyDescent="0.25">
      <c r="A60" s="5">
        <v>3</v>
      </c>
      <c r="B60" s="5" t="s">
        <v>20</v>
      </c>
      <c r="C60" s="6">
        <v>20</v>
      </c>
      <c r="D60" s="5" t="s">
        <v>136</v>
      </c>
      <c r="E60" s="5" t="s">
        <v>137</v>
      </c>
      <c r="F60" s="5" t="s">
        <v>139</v>
      </c>
      <c r="G60" s="5" t="s">
        <v>65</v>
      </c>
      <c r="I60" s="5" t="s">
        <v>138</v>
      </c>
    </row>
    <row r="61" spans="1:9" x14ac:dyDescent="0.25">
      <c r="A61" s="5">
        <v>3</v>
      </c>
      <c r="B61" s="5" t="s">
        <v>20</v>
      </c>
      <c r="C61" s="6">
        <v>20</v>
      </c>
      <c r="D61" s="5" t="s">
        <v>136</v>
      </c>
      <c r="E61" s="5" t="s">
        <v>140</v>
      </c>
      <c r="F61" s="5" t="s">
        <v>141</v>
      </c>
      <c r="G61" s="5" t="s">
        <v>79</v>
      </c>
      <c r="I61" s="5" t="s">
        <v>138</v>
      </c>
    </row>
    <row r="62" spans="1:9" x14ac:dyDescent="0.25">
      <c r="A62" s="5">
        <v>3</v>
      </c>
      <c r="B62" s="5" t="s">
        <v>20</v>
      </c>
      <c r="C62" s="6">
        <v>20</v>
      </c>
      <c r="D62" s="5" t="s">
        <v>136</v>
      </c>
      <c r="E62" s="5" t="s">
        <v>140</v>
      </c>
      <c r="F62" s="5" t="s">
        <v>142</v>
      </c>
      <c r="G62" s="5" t="s">
        <v>79</v>
      </c>
      <c r="I62" s="5" t="s">
        <v>138</v>
      </c>
    </row>
    <row r="63" spans="1:9" x14ac:dyDescent="0.25">
      <c r="A63" s="5">
        <v>3</v>
      </c>
      <c r="B63" s="5" t="s">
        <v>20</v>
      </c>
      <c r="C63" s="6">
        <v>20</v>
      </c>
      <c r="D63" s="5" t="s">
        <v>136</v>
      </c>
      <c r="E63" s="5" t="s">
        <v>140</v>
      </c>
      <c r="F63" s="5" t="s">
        <v>143</v>
      </c>
      <c r="G63" s="5" t="s">
        <v>79</v>
      </c>
      <c r="I63" s="5" t="s">
        <v>138</v>
      </c>
    </row>
    <row r="64" spans="1:9" x14ac:dyDescent="0.25">
      <c r="A64" s="5">
        <v>3</v>
      </c>
      <c r="B64" s="5" t="s">
        <v>20</v>
      </c>
      <c r="C64" s="6">
        <v>20</v>
      </c>
      <c r="D64" s="5" t="s">
        <v>136</v>
      </c>
      <c r="E64" s="5" t="s">
        <v>140</v>
      </c>
      <c r="F64" s="5" t="s">
        <v>68</v>
      </c>
      <c r="G64" s="5" t="s">
        <v>79</v>
      </c>
      <c r="I64" s="5" t="s">
        <v>138</v>
      </c>
    </row>
    <row r="65" spans="1:9" x14ac:dyDescent="0.25">
      <c r="A65" s="5">
        <v>3</v>
      </c>
      <c r="B65" s="5" t="s">
        <v>20</v>
      </c>
      <c r="C65" s="6">
        <v>20</v>
      </c>
      <c r="D65" s="5" t="s">
        <v>144</v>
      </c>
      <c r="E65" s="5" t="s">
        <v>145</v>
      </c>
      <c r="F65" s="5" t="s">
        <v>146</v>
      </c>
      <c r="G65" s="5" t="s">
        <v>65</v>
      </c>
      <c r="I65" s="5" t="s">
        <v>147</v>
      </c>
    </row>
    <row r="66" spans="1:9" x14ac:dyDescent="0.25">
      <c r="A66" s="5">
        <v>3</v>
      </c>
      <c r="B66" s="5" t="s">
        <v>20</v>
      </c>
      <c r="C66" s="6">
        <v>20</v>
      </c>
      <c r="D66" s="5" t="s">
        <v>144</v>
      </c>
      <c r="E66" s="5" t="s">
        <v>145</v>
      </c>
      <c r="F66" s="5" t="s">
        <v>148</v>
      </c>
      <c r="G66" s="5" t="s">
        <v>65</v>
      </c>
      <c r="I66" s="5" t="s">
        <v>147</v>
      </c>
    </row>
    <row r="67" spans="1:9" x14ac:dyDescent="0.25">
      <c r="A67" s="5">
        <v>3</v>
      </c>
      <c r="B67" s="5" t="s">
        <v>20</v>
      </c>
      <c r="C67" s="6">
        <v>20</v>
      </c>
      <c r="D67" s="5" t="s">
        <v>149</v>
      </c>
      <c r="E67" s="5" t="s">
        <v>150</v>
      </c>
      <c r="F67" s="5" t="s">
        <v>151</v>
      </c>
      <c r="G67" s="5" t="s">
        <v>152</v>
      </c>
      <c r="I67" s="5" t="s">
        <v>153</v>
      </c>
    </row>
    <row r="68" spans="1:9" x14ac:dyDescent="0.25">
      <c r="A68" s="5">
        <v>3</v>
      </c>
      <c r="B68" s="5" t="s">
        <v>20</v>
      </c>
      <c r="C68" s="6">
        <v>20</v>
      </c>
      <c r="D68" s="5" t="s">
        <v>149</v>
      </c>
      <c r="E68" s="5" t="s">
        <v>150</v>
      </c>
      <c r="F68" s="5" t="s">
        <v>154</v>
      </c>
      <c r="G68" s="5" t="s">
        <v>152</v>
      </c>
      <c r="I68" s="5" t="s">
        <v>153</v>
      </c>
    </row>
    <row r="69" spans="1:9" x14ac:dyDescent="0.25">
      <c r="A69" s="7">
        <v>4</v>
      </c>
      <c r="B69" s="7" t="s">
        <v>22</v>
      </c>
      <c r="C69" s="8">
        <v>30</v>
      </c>
      <c r="D69" s="7" t="s">
        <v>155</v>
      </c>
      <c r="E69" s="7" t="s">
        <v>156</v>
      </c>
      <c r="F69" s="7" t="s">
        <v>157</v>
      </c>
      <c r="G69" s="7" t="s">
        <v>158</v>
      </c>
      <c r="I69" s="7" t="s">
        <v>62</v>
      </c>
    </row>
    <row r="70" spans="1:9" x14ac:dyDescent="0.25">
      <c r="A70" s="5">
        <v>4</v>
      </c>
      <c r="B70" s="5" t="s">
        <v>22</v>
      </c>
      <c r="C70" s="6">
        <v>30</v>
      </c>
      <c r="D70" s="5" t="s">
        <v>155</v>
      </c>
      <c r="E70" s="5" t="s">
        <v>156</v>
      </c>
      <c r="F70" s="5" t="s">
        <v>159</v>
      </c>
      <c r="G70" s="5" t="s">
        <v>158</v>
      </c>
      <c r="I70" s="5" t="s">
        <v>62</v>
      </c>
    </row>
    <row r="71" spans="1:9" x14ac:dyDescent="0.25">
      <c r="A71" s="5">
        <v>4</v>
      </c>
      <c r="B71" s="5" t="s">
        <v>22</v>
      </c>
      <c r="C71" s="6">
        <v>30</v>
      </c>
      <c r="D71" s="5" t="s">
        <v>155</v>
      </c>
      <c r="E71" s="5" t="s">
        <v>156</v>
      </c>
      <c r="F71" s="5" t="s">
        <v>160</v>
      </c>
      <c r="G71" s="5" t="s">
        <v>158</v>
      </c>
      <c r="I71" s="5" t="s">
        <v>62</v>
      </c>
    </row>
    <row r="72" spans="1:9" x14ac:dyDescent="0.25">
      <c r="A72" s="5">
        <v>4</v>
      </c>
      <c r="B72" s="5" t="s">
        <v>22</v>
      </c>
      <c r="C72" s="6">
        <v>30</v>
      </c>
      <c r="D72" s="5" t="s">
        <v>155</v>
      </c>
      <c r="E72" s="5" t="s">
        <v>156</v>
      </c>
      <c r="F72" s="5" t="s">
        <v>161</v>
      </c>
      <c r="G72" s="5" t="s">
        <v>158</v>
      </c>
      <c r="I72" s="5" t="s">
        <v>62</v>
      </c>
    </row>
    <row r="73" spans="1:9" x14ac:dyDescent="0.25">
      <c r="A73" s="5">
        <v>4</v>
      </c>
      <c r="B73" s="5" t="s">
        <v>22</v>
      </c>
      <c r="C73" s="6">
        <v>30</v>
      </c>
      <c r="D73" s="5" t="s">
        <v>155</v>
      </c>
      <c r="E73" s="5" t="s">
        <v>156</v>
      </c>
      <c r="F73" s="5" t="s">
        <v>162</v>
      </c>
      <c r="G73" s="5" t="s">
        <v>158</v>
      </c>
      <c r="I73" s="5" t="s">
        <v>62</v>
      </c>
    </row>
    <row r="74" spans="1:9" x14ac:dyDescent="0.25">
      <c r="A74" s="7">
        <v>5</v>
      </c>
      <c r="B74" s="7" t="s">
        <v>24</v>
      </c>
      <c r="C74" s="8">
        <v>10</v>
      </c>
      <c r="D74" s="7" t="s">
        <v>155</v>
      </c>
      <c r="E74" s="7" t="s">
        <v>163</v>
      </c>
      <c r="F74" s="7" t="s">
        <v>164</v>
      </c>
      <c r="G74" s="7" t="s">
        <v>158</v>
      </c>
      <c r="I74" s="7" t="s">
        <v>62</v>
      </c>
    </row>
    <row r="75" spans="1:9" x14ac:dyDescent="0.25">
      <c r="A75" s="5">
        <v>5</v>
      </c>
      <c r="B75" s="5" t="s">
        <v>24</v>
      </c>
      <c r="C75" s="6">
        <v>10</v>
      </c>
      <c r="D75" s="5" t="s">
        <v>155</v>
      </c>
      <c r="E75" s="5" t="s">
        <v>163</v>
      </c>
      <c r="F75" s="5" t="s">
        <v>165</v>
      </c>
      <c r="G75" s="5" t="s">
        <v>158</v>
      </c>
      <c r="I75" s="5" t="s">
        <v>62</v>
      </c>
    </row>
    <row r="76" spans="1:9" x14ac:dyDescent="0.25">
      <c r="A76" s="5">
        <v>5</v>
      </c>
      <c r="B76" s="5" t="s">
        <v>24</v>
      </c>
      <c r="C76" s="6">
        <v>10</v>
      </c>
      <c r="D76" s="5" t="s">
        <v>155</v>
      </c>
      <c r="E76" s="5" t="s">
        <v>166</v>
      </c>
      <c r="F76" s="5" t="s">
        <v>167</v>
      </c>
      <c r="G76" s="5" t="s">
        <v>168</v>
      </c>
      <c r="I76" s="5" t="s">
        <v>169</v>
      </c>
    </row>
    <row r="77" spans="1:9" x14ac:dyDescent="0.25">
      <c r="A77" s="5">
        <v>5</v>
      </c>
      <c r="B77" s="5" t="s">
        <v>24</v>
      </c>
      <c r="C77" s="6">
        <v>10</v>
      </c>
      <c r="D77" s="5" t="s">
        <v>155</v>
      </c>
      <c r="E77" s="5" t="s">
        <v>166</v>
      </c>
      <c r="F77" s="5" t="s">
        <v>170</v>
      </c>
      <c r="G77" s="5" t="s">
        <v>168</v>
      </c>
      <c r="I77" s="5" t="s">
        <v>169</v>
      </c>
    </row>
    <row r="78" spans="1:9" x14ac:dyDescent="0.25">
      <c r="A78" s="5">
        <v>5</v>
      </c>
      <c r="B78" s="5" t="s">
        <v>24</v>
      </c>
      <c r="C78" s="6">
        <v>10</v>
      </c>
      <c r="D78" s="5" t="s">
        <v>155</v>
      </c>
      <c r="E78" s="5" t="s">
        <v>166</v>
      </c>
      <c r="F78" s="5" t="s">
        <v>171</v>
      </c>
      <c r="G78" s="5" t="s">
        <v>168</v>
      </c>
      <c r="I78" s="5" t="s">
        <v>169</v>
      </c>
    </row>
    <row r="81" spans="1:9" x14ac:dyDescent="0.25">
      <c r="A81" s="2" t="s">
        <v>172</v>
      </c>
      <c r="B81" s="2"/>
      <c r="C81" s="2"/>
      <c r="D81" s="2"/>
      <c r="E81" s="2"/>
      <c r="F81" s="2"/>
      <c r="G81" s="2"/>
      <c r="H81" s="2"/>
      <c r="I81" s="2"/>
    </row>
    <row r="82" ht="22" customHeight="1" spans="1:9" x14ac:dyDescent="0.25">
      <c r="A82" s="3" t="s">
        <v>12</v>
      </c>
      <c r="B82" s="3" t="s">
        <v>173</v>
      </c>
      <c r="C82" s="3" t="s">
        <v>174</v>
      </c>
      <c r="D82" s="3" t="s">
        <v>175</v>
      </c>
      <c r="E82" s="3" t="s">
        <v>176</v>
      </c>
      <c r="F82" s="3" t="s">
        <v>1</v>
      </c>
      <c r="G82" s="3" t="s">
        <v>1</v>
      </c>
      <c r="H82" s="3" t="s">
        <v>1</v>
      </c>
      <c r="I82" s="3" t="s">
        <v>1</v>
      </c>
    </row>
    <row r="83" spans="1:6" x14ac:dyDescent="0.25">
      <c r="A83" t="s">
        <v>16</v>
      </c>
      <c r="B83">
        <v>25</v>
      </c>
      <c r="C83">
        <f>MAXIFS(H$2:H$78,A$2:A$78,1)</f>
      </c>
      <c r="D83">
        <f>SUMIF(A$2:A$78,1,H$2:H$78)</f>
      </c>
      <c r="E83">
        <f>IF(C83="","Preencher pesos",IF(B83&gt;=C83,"OK","Verificar"))</f>
      </c>
      <c r="F83" t="s">
        <v>177</v>
      </c>
    </row>
    <row r="84" spans="1:6" x14ac:dyDescent="0.25">
      <c r="A84" t="s">
        <v>18</v>
      </c>
      <c r="B84">
        <v>30</v>
      </c>
      <c r="C84">
        <f>MAXIFS(H$2:H$78,A$2:A$78,2)</f>
      </c>
      <c r="D84">
        <f>SUMIF(A$2:A$78,2,H$2:H$78)</f>
      </c>
      <c r="E84">
        <f>IF(C84="","Preencher pesos",IF(B84&gt;=C84,"OK","Verificar"))</f>
      </c>
      <c r="F84" t="s">
        <v>178</v>
      </c>
    </row>
    <row r="85" spans="1:6" x14ac:dyDescent="0.25">
      <c r="A85" t="s">
        <v>20</v>
      </c>
      <c r="B85">
        <v>20</v>
      </c>
      <c r="C85">
        <f>MAXIFS(H$2:H$78,A$2:A$78,3)</f>
      </c>
      <c r="D85">
        <f>SUMIF(A$2:A$78,3,H$2:H$78)</f>
      </c>
      <c r="E85">
        <f>IF(C85="","Preencher pesos",IF(B85&gt;=C85,"OK","Verificar"))</f>
      </c>
      <c r="F85" t="s">
        <v>179</v>
      </c>
    </row>
    <row r="86" spans="1:6" x14ac:dyDescent="0.25">
      <c r="A86" t="s">
        <v>22</v>
      </c>
      <c r="B86">
        <v>30</v>
      </c>
      <c r="C86">
        <f>MAXIFS(H$2:H$78,A$2:A$78,4)</f>
      </c>
      <c r="D86">
        <f>SUMIF(A$2:A$78,4,H$2:H$78)</f>
      </c>
      <c r="E86">
        <f>IF(C86="","Preencher pesos",IF(B86&gt;=C86,"OK","Verificar"))</f>
      </c>
      <c r="F86" t="s">
        <v>180</v>
      </c>
    </row>
    <row r="87" spans="1:6" x14ac:dyDescent="0.25">
      <c r="A87" t="s">
        <v>24</v>
      </c>
      <c r="B87">
        <v>10</v>
      </c>
      <c r="C87">
        <f>MAXIFS(H$2:H$78,A$2:A$78,5)</f>
      </c>
      <c r="D87">
        <f>SUMIF(A$2:A$78,5,H$2:H$78)</f>
      </c>
      <c r="E87">
        <f>IF(C87="","Preencher pesos",IF(B87&gt;=C87,"OK","Verificar"))</f>
      </c>
      <c r="F87" t="s">
        <v>181</v>
      </c>
    </row>
    <row r="88" spans="1:5" x14ac:dyDescent="0.25">
      <c r="A88" s="4" t="s">
        <v>182</v>
      </c>
      <c r="B88" s="4">
        <v>115</v>
      </c>
      <c r="C88">
        <f>SUM(B83:B87)</f>
      </c>
      <c r="E88" s="9" t="s">
        <v>183</v>
      </c>
    </row>
  </sheetData>
  <autoFilter ref="A1:I78"/>
  <mergeCells count="1">
    <mergeCell ref="A81:I8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Instruções</vt:lpstr>
      <vt:lpstr>Classificação Final</vt:lpstr>
      <vt:lpstr>Critérios de Pontuação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Pumangol FILDA 2026</dc:creator>
  <dc:title/>
  <dc:subject/>
  <dc:description/>
  <cp:keywords/>
  <cp:category/>
  <cp:lastModifiedBy>Unknown</cp:lastModifiedBy>
  <dcterms:created xsi:type="dcterms:W3CDTF">2026-07-15T08:31:25Z</dcterms:created>
  <dcterms:modified xsi:type="dcterms:W3CDTF">2026-07-15T08:31:25Z</dcterms:modified>
</cp:coreProperties>
</file>